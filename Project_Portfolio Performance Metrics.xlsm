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pivotTables/pivotTable2.xml" ContentType="application/vnd.openxmlformats-officedocument.spreadsheetml.pivotTable+xml"/>
  <Override PartName="/xl/printerSettings/printerSettings1.bin" ContentType="application/vnd.openxmlformats-officedocument.spreadsheetml.printerSettings"/>
  <Override PartName="/xl/drawings/drawing3.xml" ContentType="application/vnd.openxmlformats-officedocument.drawing+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rinterSettings/printerSettings2.bin" ContentType="application/vnd.openxmlformats-officedocument.spreadsheetml.printerSettings"/>
  <Override PartName="/xl/drawings/drawing4.xml" ContentType="application/vnd.openxmlformats-officedocument.drawing+xml"/>
  <Override PartName="/xl/activeX/activeX3.xml" ContentType="application/vnd.ms-office.activeX+xml"/>
  <Override PartName="/xl/comments2.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https://d.docs.live.net/b4daa0040c118549/Desktop/Excel Project/"/>
    </mc:Choice>
  </mc:AlternateContent>
  <xr:revisionPtr revIDLastSave="0" documentId="8_{A660D787-E607-40CA-8A62-982CEA5E6E09}" xr6:coauthVersionLast="47" xr6:coauthVersionMax="47" xr10:uidLastSave="{00000000-0000-0000-0000-000000000000}"/>
  <bookViews>
    <workbookView xWindow="-120" yWindow="-120" windowWidth="29040" windowHeight="15720" tabRatio="822" activeTab="5" xr2:uid="{00000000-000D-0000-FFFF-FFFF00000000}"/>
  </bookViews>
  <sheets>
    <sheet name="Dashboard" sheetId="4" r:id="rId1"/>
    <sheet name="Budget Analysis" sheetId="14" r:id="rId2"/>
    <sheet name="Data" sheetId="5" r:id="rId3"/>
    <sheet name="Interactive Charts" sheetId="12" r:id="rId4"/>
    <sheet name="Pivot" sheetId="6" r:id="rId5"/>
    <sheet name="Macro1" sheetId="1" r:id="rId6"/>
    <sheet name="Complex Formula" sheetId="10" r:id="rId7"/>
  </sheets>
  <definedNames>
    <definedName name="Slicer_Project_Manager">#N/A</definedName>
    <definedName name="Slicer_Project_Status">#N/A</definedName>
  </definedNames>
  <calcPr calcId="191029"/>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14" l="1"/>
  <c r="C17" i="14"/>
  <c r="B17" i="14"/>
  <c r="E8" i="14"/>
  <c r="D8" i="14"/>
  <c r="C8" i="14"/>
  <c r="B8" i="14"/>
  <c r="I4" i="14"/>
  <c r="AA3" i="14"/>
  <c r="AA4" i="14"/>
  <c r="AA5" i="14"/>
  <c r="AA6" i="14"/>
  <c r="AA7" i="14"/>
  <c r="AA8" i="14"/>
  <c r="AA9" i="14"/>
  <c r="AA10" i="14"/>
  <c r="AA11" i="14"/>
  <c r="AA12" i="14"/>
  <c r="AA13" i="14"/>
  <c r="AA14" i="14"/>
  <c r="AA15" i="14"/>
  <c r="AA16" i="14"/>
  <c r="AA17" i="14"/>
  <c r="AA18" i="14"/>
  <c r="AA19" i="14"/>
  <c r="AA20" i="14"/>
  <c r="AA21" i="14"/>
  <c r="AA22" i="14"/>
  <c r="AA23" i="14"/>
  <c r="AA24" i="14"/>
  <c r="AA25" i="14"/>
  <c r="AA26" i="14"/>
  <c r="AA27" i="14"/>
  <c r="AA28" i="14"/>
  <c r="AA29" i="14"/>
  <c r="AA30" i="14"/>
  <c r="AA31" i="14"/>
  <c r="AA32" i="14"/>
  <c r="AA33" i="14"/>
  <c r="AA34" i="14"/>
  <c r="AA35" i="14"/>
  <c r="AA36" i="14"/>
  <c r="AA37" i="14"/>
  <c r="AA38" i="14"/>
  <c r="AA39" i="14"/>
  <c r="AA40" i="14"/>
  <c r="AA41" i="14"/>
  <c r="AA42" i="14"/>
  <c r="AA43" i="14"/>
  <c r="AA44" i="14"/>
  <c r="AA45" i="14"/>
  <c r="AA46" i="14"/>
  <c r="AA47" i="14"/>
  <c r="AA48" i="14"/>
  <c r="AA49" i="14"/>
  <c r="AA50" i="14"/>
  <c r="AA51" i="14"/>
  <c r="AA52" i="14"/>
  <c r="AA53" i="14"/>
  <c r="AA54" i="14"/>
  <c r="AA55" i="14"/>
  <c r="AA56" i="14"/>
  <c r="AA57" i="14"/>
  <c r="AA58" i="14"/>
  <c r="AA59" i="14"/>
  <c r="AA60" i="14"/>
  <c r="AA61" i="14"/>
  <c r="AA62" i="14"/>
  <c r="AA63" i="14"/>
  <c r="AA64" i="14"/>
  <c r="AA65" i="14"/>
  <c r="AA66" i="14"/>
  <c r="AA67" i="14"/>
  <c r="AA68" i="14"/>
  <c r="AA69" i="14"/>
  <c r="AA70" i="14"/>
  <c r="AA71" i="14"/>
  <c r="AA72" i="14"/>
  <c r="AA73" i="14"/>
  <c r="AA74" i="14"/>
  <c r="AA75" i="14"/>
  <c r="AA76" i="14"/>
  <c r="AA77" i="14"/>
  <c r="AA78" i="14"/>
  <c r="AA80" i="14"/>
  <c r="AA81" i="14"/>
  <c r="AA82" i="14"/>
  <c r="AA83" i="14"/>
  <c r="AA84" i="14"/>
  <c r="AA85" i="14"/>
  <c r="AA86" i="14"/>
  <c r="AA87" i="14"/>
  <c r="AA88" i="14"/>
  <c r="AA89" i="14"/>
  <c r="AA90" i="14"/>
  <c r="AA91" i="14"/>
  <c r="AA92" i="14"/>
  <c r="AA93" i="14"/>
  <c r="AA94" i="14"/>
  <c r="AA95" i="14"/>
  <c r="AA96" i="14"/>
  <c r="AA97" i="14"/>
  <c r="AA98" i="14"/>
  <c r="AA99" i="14"/>
  <c r="AA100" i="14"/>
  <c r="AA2" i="14"/>
  <c r="E17" i="14" l="1"/>
  <c r="F8" i="14"/>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2" i="10"/>
  <c r="O6" i="4"/>
  <c r="R6" i="4" s="1"/>
  <c r="Q6" i="4"/>
  <c r="P6" i="4"/>
  <c r="K10" i="5"/>
  <c r="K11" i="5"/>
  <c r="K12" i="5"/>
  <c r="K22" i="5"/>
  <c r="K23" i="5"/>
  <c r="K24" i="5"/>
  <c r="K34" i="5"/>
  <c r="K35" i="5"/>
  <c r="K36" i="5"/>
  <c r="K46" i="5"/>
  <c r="K47" i="5"/>
  <c r="K48" i="5"/>
  <c r="K58" i="5"/>
  <c r="K59" i="5"/>
  <c r="K60" i="5"/>
  <c r="K70" i="5"/>
  <c r="K71" i="5"/>
  <c r="K72" i="5"/>
  <c r="K82" i="5"/>
  <c r="K83" i="5"/>
  <c r="K84" i="5"/>
  <c r="K94" i="5"/>
  <c r="K95" i="5"/>
  <c r="K96" i="5"/>
  <c r="J3" i="5"/>
  <c r="K3" i="5" s="1"/>
  <c r="J4" i="5"/>
  <c r="K4" i="5" s="1"/>
  <c r="J5" i="5"/>
  <c r="K5" i="5" s="1"/>
  <c r="J6" i="5"/>
  <c r="K6" i="5" s="1"/>
  <c r="J7" i="5"/>
  <c r="K7" i="5" s="1"/>
  <c r="J8" i="5"/>
  <c r="K8" i="5" s="1"/>
  <c r="J9" i="5"/>
  <c r="K9" i="5" s="1"/>
  <c r="J10" i="5"/>
  <c r="J11" i="5"/>
  <c r="J12" i="5"/>
  <c r="J13" i="5"/>
  <c r="K13" i="5" s="1"/>
  <c r="J14" i="5"/>
  <c r="K14" i="5" s="1"/>
  <c r="J15" i="5"/>
  <c r="K15" i="5" s="1"/>
  <c r="J16" i="5"/>
  <c r="K16" i="5" s="1"/>
  <c r="J17" i="5"/>
  <c r="K17" i="5" s="1"/>
  <c r="J18" i="5"/>
  <c r="K18" i="5" s="1"/>
  <c r="J19" i="5"/>
  <c r="K19" i="5" s="1"/>
  <c r="J20" i="5"/>
  <c r="K20" i="5" s="1"/>
  <c r="J21" i="5"/>
  <c r="K21" i="5" s="1"/>
  <c r="J22" i="5"/>
  <c r="J23" i="5"/>
  <c r="J24" i="5"/>
  <c r="J25" i="5"/>
  <c r="K25" i="5" s="1"/>
  <c r="J26" i="5"/>
  <c r="K26" i="5" s="1"/>
  <c r="J27" i="5"/>
  <c r="K27" i="5" s="1"/>
  <c r="J28" i="5"/>
  <c r="K28" i="5" s="1"/>
  <c r="J29" i="5"/>
  <c r="K29" i="5" s="1"/>
  <c r="J30" i="5"/>
  <c r="K30" i="5" s="1"/>
  <c r="J31" i="5"/>
  <c r="K31" i="5" s="1"/>
  <c r="J32" i="5"/>
  <c r="K32" i="5" s="1"/>
  <c r="J33" i="5"/>
  <c r="K33" i="5" s="1"/>
  <c r="J34" i="5"/>
  <c r="J35" i="5"/>
  <c r="J36" i="5"/>
  <c r="J37" i="5"/>
  <c r="K37" i="5" s="1"/>
  <c r="J38" i="5"/>
  <c r="K38" i="5" s="1"/>
  <c r="J39" i="5"/>
  <c r="K39" i="5" s="1"/>
  <c r="J40" i="5"/>
  <c r="K40" i="5" s="1"/>
  <c r="J41" i="5"/>
  <c r="K41" i="5" s="1"/>
  <c r="J42" i="5"/>
  <c r="K42" i="5" s="1"/>
  <c r="J43" i="5"/>
  <c r="K43" i="5" s="1"/>
  <c r="J44" i="5"/>
  <c r="K44" i="5" s="1"/>
  <c r="J45" i="5"/>
  <c r="K45" i="5" s="1"/>
  <c r="J46" i="5"/>
  <c r="J47" i="5"/>
  <c r="J48" i="5"/>
  <c r="J49" i="5"/>
  <c r="K49" i="5" s="1"/>
  <c r="J50" i="5"/>
  <c r="K50" i="5" s="1"/>
  <c r="J51" i="5"/>
  <c r="K51" i="5" s="1"/>
  <c r="J52" i="5"/>
  <c r="K52" i="5" s="1"/>
  <c r="J53" i="5"/>
  <c r="K53" i="5" s="1"/>
  <c r="J54" i="5"/>
  <c r="K54" i="5" s="1"/>
  <c r="J55" i="5"/>
  <c r="K55" i="5" s="1"/>
  <c r="J56" i="5"/>
  <c r="K56" i="5" s="1"/>
  <c r="J57" i="5"/>
  <c r="K57" i="5" s="1"/>
  <c r="J58" i="5"/>
  <c r="J59" i="5"/>
  <c r="J60" i="5"/>
  <c r="J61" i="5"/>
  <c r="K61" i="5" s="1"/>
  <c r="J62" i="5"/>
  <c r="K62" i="5" s="1"/>
  <c r="J63" i="5"/>
  <c r="K63" i="5" s="1"/>
  <c r="J64" i="5"/>
  <c r="K64" i="5" s="1"/>
  <c r="J65" i="5"/>
  <c r="K65" i="5" s="1"/>
  <c r="J66" i="5"/>
  <c r="K66" i="5" s="1"/>
  <c r="J67" i="5"/>
  <c r="K67" i="5" s="1"/>
  <c r="J68" i="5"/>
  <c r="K68" i="5" s="1"/>
  <c r="J69" i="5"/>
  <c r="K69" i="5" s="1"/>
  <c r="J70" i="5"/>
  <c r="J71" i="5"/>
  <c r="J72" i="5"/>
  <c r="J73" i="5"/>
  <c r="K73" i="5" s="1"/>
  <c r="J74" i="5"/>
  <c r="K74" i="5" s="1"/>
  <c r="J75" i="5"/>
  <c r="K75" i="5" s="1"/>
  <c r="J76" i="5"/>
  <c r="K76" i="5" s="1"/>
  <c r="J77" i="5"/>
  <c r="K77" i="5" s="1"/>
  <c r="J78" i="5"/>
  <c r="K78" i="5" s="1"/>
  <c r="J79" i="5"/>
  <c r="K79" i="5" s="1"/>
  <c r="J80" i="5"/>
  <c r="K80" i="5" s="1"/>
  <c r="J81" i="5"/>
  <c r="K81" i="5" s="1"/>
  <c r="J82" i="5"/>
  <c r="J83" i="5"/>
  <c r="J84" i="5"/>
  <c r="J85" i="5"/>
  <c r="K85" i="5" s="1"/>
  <c r="J86" i="5"/>
  <c r="K86" i="5" s="1"/>
  <c r="J87" i="5"/>
  <c r="K87" i="5" s="1"/>
  <c r="J88" i="5"/>
  <c r="K88" i="5" s="1"/>
  <c r="J89" i="5"/>
  <c r="K89" i="5" s="1"/>
  <c r="J90" i="5"/>
  <c r="K90" i="5" s="1"/>
  <c r="J91" i="5"/>
  <c r="K91" i="5" s="1"/>
  <c r="J92" i="5"/>
  <c r="K92" i="5" s="1"/>
  <c r="J93" i="5"/>
  <c r="K93" i="5" s="1"/>
  <c r="J94" i="5"/>
  <c r="J95" i="5"/>
  <c r="J96" i="5"/>
  <c r="J97" i="5"/>
  <c r="K97" i="5" s="1"/>
  <c r="J98" i="5"/>
  <c r="K98" i="5" s="1"/>
  <c r="J99" i="5"/>
  <c r="K99" i="5" s="1"/>
  <c r="J100" i="5"/>
  <c r="K100" i="5" s="1"/>
  <c r="J2" i="5"/>
  <c r="K2" i="5" s="1"/>
  <c r="I21" i="1"/>
  <c r="I8" i="1"/>
  <c r="I9" i="1"/>
  <c r="I10" i="1"/>
  <c r="I11" i="1"/>
  <c r="I12" i="1"/>
  <c r="I13" i="1"/>
  <c r="I14" i="1"/>
  <c r="I15" i="1"/>
  <c r="I16" i="1"/>
  <c r="I17" i="1"/>
  <c r="I18" i="1"/>
  <c r="I19" i="1"/>
  <c r="I20" i="1"/>
  <c r="I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SRIGANESH</author>
  </authors>
  <commentList>
    <comment ref="F15" authorId="0" shapeId="0" xr:uid="{00000000-0006-0000-0300-000001000000}">
      <text>
        <r>
          <rPr>
            <b/>
            <sz val="10"/>
            <color indexed="81"/>
            <rFont val="Calibri"/>
            <family val="2"/>
            <scheme val="minor"/>
          </rPr>
          <t>Click the Project Manager's Name to filter for his projects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SRIGANESH</author>
  </authors>
  <commentList>
    <comment ref="H7" authorId="0" shapeId="0" xr:uid="{00000000-0006-0000-0500-000001000000}">
      <text>
        <r>
          <rPr>
            <sz val="12"/>
            <color indexed="81"/>
            <rFont val="Calibri"/>
            <family val="2"/>
            <scheme val="minor"/>
          </rPr>
          <t>Macro To Fill in comments as per the Projects RAG Status</t>
        </r>
        <r>
          <rPr>
            <sz val="9"/>
            <color indexed="81"/>
            <rFont val="Tahoma"/>
            <family val="2"/>
          </rPr>
          <t xml:space="preserve">
</t>
        </r>
      </text>
    </comment>
  </commentList>
</comments>
</file>

<file path=xl/sharedStrings.xml><?xml version="1.0" encoding="utf-8"?>
<sst xmlns="http://schemas.openxmlformats.org/spreadsheetml/2006/main" count="1719" uniqueCount="213">
  <si>
    <t>Project ID</t>
  </si>
  <si>
    <t>Project Name</t>
  </si>
  <si>
    <t>Primary PM Name</t>
  </si>
  <si>
    <t>RAG Status</t>
  </si>
  <si>
    <t>Current Phase</t>
  </si>
  <si>
    <t>Comment</t>
  </si>
  <si>
    <t>Xxx yyyy xx yyyy vvv</t>
  </si>
  <si>
    <t xml:space="preserve">cccc vvvv gggg mmm </t>
  </si>
  <si>
    <t>Requirements</t>
  </si>
  <si>
    <t>Design</t>
  </si>
  <si>
    <t>XAT Testing</t>
  </si>
  <si>
    <t>Implementation</t>
  </si>
  <si>
    <t>Aaron Finch</t>
  </si>
  <si>
    <t>David Warner</t>
  </si>
  <si>
    <t>Usman Khawaja</t>
  </si>
  <si>
    <t>Steve Smith</t>
  </si>
  <si>
    <t>Shaun Marsh</t>
  </si>
  <si>
    <t>Glenn Maxwell</t>
  </si>
  <si>
    <t>Marcus Stoinis</t>
  </si>
  <si>
    <t>Alex Carey (wk)</t>
  </si>
  <si>
    <t>Pat Cummins</t>
  </si>
  <si>
    <t>Mitchell Starc</t>
  </si>
  <si>
    <t>Nathan Lyon</t>
  </si>
  <si>
    <t>Adam Zampa</t>
  </si>
  <si>
    <t>Jason Behrendorff</t>
  </si>
  <si>
    <t>Nathan Coulter-Nile</t>
  </si>
  <si>
    <t>Kane Richardson</t>
  </si>
  <si>
    <t>UAT Testing</t>
  </si>
  <si>
    <t>Red</t>
  </si>
  <si>
    <t>Green</t>
  </si>
  <si>
    <t>Amber</t>
  </si>
  <si>
    <t>Barun</t>
  </si>
  <si>
    <t>Jim</t>
  </si>
  <si>
    <t>Steve</t>
  </si>
  <si>
    <t>On Time Delivery</t>
  </si>
  <si>
    <t>CR due to Budget &amp; Delivery</t>
  </si>
  <si>
    <t>Aging Remedy Tickets</t>
  </si>
  <si>
    <t>Time Sheet Submission</t>
  </si>
  <si>
    <t>Aging issues &gt;30 Days</t>
  </si>
  <si>
    <t>Aging issues &gt; 90 days</t>
  </si>
  <si>
    <t>Compliance Audit Scores</t>
  </si>
  <si>
    <t>CSR Hours</t>
  </si>
  <si>
    <t>Attrition</t>
  </si>
  <si>
    <t>Training and compliance course completion</t>
  </si>
  <si>
    <t>Time taken to hire</t>
  </si>
  <si>
    <t>Weightage</t>
  </si>
  <si>
    <t>Delivery</t>
  </si>
  <si>
    <t>Sundries</t>
  </si>
  <si>
    <t>$ Spent due to Project Extension</t>
  </si>
  <si>
    <t>PPM page Hygiene</t>
  </si>
  <si>
    <t>-</t>
  </si>
  <si>
    <t>Overall Score</t>
  </si>
  <si>
    <t>Project name</t>
  </si>
  <si>
    <t>Project Manager</t>
  </si>
  <si>
    <t>PMs Manager</t>
  </si>
  <si>
    <t>Current Production date</t>
  </si>
  <si>
    <t>Actual Production date</t>
  </si>
  <si>
    <t>Phase End Date</t>
  </si>
  <si>
    <t>On Budget - Active Projects</t>
  </si>
  <si>
    <t>On Budget - Closed Projects</t>
  </si>
  <si>
    <t>Lifecycle</t>
  </si>
  <si>
    <t>Initiation</t>
  </si>
  <si>
    <t>Waterfall</t>
  </si>
  <si>
    <t>Iterative</t>
  </si>
  <si>
    <t>Agile</t>
  </si>
  <si>
    <t>Productiondate Variance</t>
  </si>
  <si>
    <t>Exception Check</t>
  </si>
  <si>
    <t>Row Labels</t>
  </si>
  <si>
    <t>Grand Total</t>
  </si>
  <si>
    <t>Column Labels</t>
  </si>
  <si>
    <t>Complied</t>
  </si>
  <si>
    <t>Non-Complied</t>
  </si>
  <si>
    <t>Total Count of Exception Check2</t>
  </si>
  <si>
    <t>Count of Exception Check2</t>
  </si>
  <si>
    <t>Total Projects</t>
  </si>
  <si>
    <t>Projects</t>
  </si>
  <si>
    <t>Exception</t>
  </si>
  <si>
    <t>Overall</t>
  </si>
  <si>
    <t>Delivery (Compliance %)</t>
  </si>
  <si>
    <t>Projects Delayed</t>
  </si>
  <si>
    <t>No of Projects Deliverd On-Time</t>
  </si>
  <si>
    <t>Project Status</t>
  </si>
  <si>
    <t>Active</t>
  </si>
  <si>
    <t>On-hold</t>
  </si>
  <si>
    <t>Estimation</t>
  </si>
  <si>
    <t>Formula</t>
  </si>
  <si>
    <t>Click the below Button to fill in comments</t>
  </si>
  <si>
    <t>Red &amp; Amber Projects With Risk or Issue</t>
  </si>
  <si>
    <t>Count of Project ID</t>
  </si>
  <si>
    <t>Phase</t>
  </si>
  <si>
    <t>No of Projects</t>
  </si>
  <si>
    <t>Released on or Before Target Production date</t>
  </si>
  <si>
    <t xml:space="preserve">On-Time delivery </t>
  </si>
  <si>
    <t>Budget</t>
  </si>
  <si>
    <t>Budget Utilized</t>
  </si>
  <si>
    <t>Variance</t>
  </si>
  <si>
    <t>Project Count With Interactive Charts</t>
  </si>
  <si>
    <t>390534</t>
  </si>
  <si>
    <t>390540</t>
  </si>
  <si>
    <t>390545</t>
  </si>
  <si>
    <t>390548</t>
  </si>
  <si>
    <t>390553</t>
  </si>
  <si>
    <t>390559</t>
  </si>
  <si>
    <t>390564</t>
  </si>
  <si>
    <t>390568</t>
  </si>
  <si>
    <t>390531</t>
  </si>
  <si>
    <t>390532</t>
  </si>
  <si>
    <t>390533</t>
  </si>
  <si>
    <t>390535</t>
  </si>
  <si>
    <t>390536</t>
  </si>
  <si>
    <t>390537</t>
  </si>
  <si>
    <t>390538</t>
  </si>
  <si>
    <t>390539</t>
  </si>
  <si>
    <t>390541</t>
  </si>
  <si>
    <t>390542</t>
  </si>
  <si>
    <t>390543</t>
  </si>
  <si>
    <t>390544</t>
  </si>
  <si>
    <t>390546</t>
  </si>
  <si>
    <t>390547</t>
  </si>
  <si>
    <t>390549</t>
  </si>
  <si>
    <t>390550</t>
  </si>
  <si>
    <t>390551</t>
  </si>
  <si>
    <t>390552</t>
  </si>
  <si>
    <t>390554</t>
  </si>
  <si>
    <t>390555</t>
  </si>
  <si>
    <t>390556</t>
  </si>
  <si>
    <t>390557</t>
  </si>
  <si>
    <t>390558</t>
  </si>
  <si>
    <t>390560</t>
  </si>
  <si>
    <t>390561</t>
  </si>
  <si>
    <t>390562</t>
  </si>
  <si>
    <t>390563</t>
  </si>
  <si>
    <t>390565</t>
  </si>
  <si>
    <t>390566</t>
  </si>
  <si>
    <t>390567</t>
  </si>
  <si>
    <t>390569</t>
  </si>
  <si>
    <t>390570</t>
  </si>
  <si>
    <t>390571</t>
  </si>
  <si>
    <t>390572</t>
  </si>
  <si>
    <t>390573</t>
  </si>
  <si>
    <t>390574</t>
  </si>
  <si>
    <t>390575</t>
  </si>
  <si>
    <t>390576</t>
  </si>
  <si>
    <t>390577</t>
  </si>
  <si>
    <t>390578</t>
  </si>
  <si>
    <t>390579</t>
  </si>
  <si>
    <t>390580</t>
  </si>
  <si>
    <t>390581</t>
  </si>
  <si>
    <t>390582</t>
  </si>
  <si>
    <t>390583</t>
  </si>
  <si>
    <t>390584</t>
  </si>
  <si>
    <t>390585</t>
  </si>
  <si>
    <t>390586</t>
  </si>
  <si>
    <t>390587</t>
  </si>
  <si>
    <t>390588</t>
  </si>
  <si>
    <t>390589</t>
  </si>
  <si>
    <t>390590</t>
  </si>
  <si>
    <t>390591</t>
  </si>
  <si>
    <t>390592</t>
  </si>
  <si>
    <t>390593</t>
  </si>
  <si>
    <t>390594</t>
  </si>
  <si>
    <t>390595</t>
  </si>
  <si>
    <t>390596</t>
  </si>
  <si>
    <t>390597</t>
  </si>
  <si>
    <t>390598</t>
  </si>
  <si>
    <t>390599</t>
  </si>
  <si>
    <t>390600</t>
  </si>
  <si>
    <t>390601</t>
  </si>
  <si>
    <t>390602</t>
  </si>
  <si>
    <t>390603</t>
  </si>
  <si>
    <t>390604</t>
  </si>
  <si>
    <t>390605</t>
  </si>
  <si>
    <t>390606</t>
  </si>
  <si>
    <t>390607</t>
  </si>
  <si>
    <t>390608</t>
  </si>
  <si>
    <t>390609</t>
  </si>
  <si>
    <t>390610</t>
  </si>
  <si>
    <t>390611</t>
  </si>
  <si>
    <t>390612</t>
  </si>
  <si>
    <t>390613</t>
  </si>
  <si>
    <t>390614</t>
  </si>
  <si>
    <t>390615</t>
  </si>
  <si>
    <t>390616</t>
  </si>
  <si>
    <t>390617</t>
  </si>
  <si>
    <t>390618</t>
  </si>
  <si>
    <t>390619</t>
  </si>
  <si>
    <t>390620</t>
  </si>
  <si>
    <t>390621</t>
  </si>
  <si>
    <t>390622</t>
  </si>
  <si>
    <t>390623</t>
  </si>
  <si>
    <t>390624</t>
  </si>
  <si>
    <t>390625</t>
  </si>
  <si>
    <t>390626</t>
  </si>
  <si>
    <t>390627</t>
  </si>
  <si>
    <t>390628</t>
  </si>
  <si>
    <t>390629</t>
  </si>
  <si>
    <t>Select Project</t>
  </si>
  <si>
    <t>Project Execution (Compliance %)</t>
  </si>
  <si>
    <t>Formulas &amp; Workings are available for "On Time Delivery" metric and for the first row in "Overall Score" Table. Other data is for illustration purpose only.</t>
  </si>
  <si>
    <t>Double Click on Project Numbers to fetch Corresponding Data</t>
  </si>
  <si>
    <t>Director's Direct Reports (Portfolio Managers)</t>
  </si>
  <si>
    <t>Portfolio Manager</t>
  </si>
  <si>
    <t>Sum of Budget</t>
  </si>
  <si>
    <t>Sum of Budget Utilized</t>
  </si>
  <si>
    <t>Project Level Budget Analysis</t>
  </si>
  <si>
    <t>Portfolio Level Budget Analysis</t>
  </si>
  <si>
    <t>Select Portfolio</t>
  </si>
  <si>
    <t>Barun's Portfolio</t>
  </si>
  <si>
    <t>Jim's Portfolio</t>
  </si>
  <si>
    <t>Steve's Portfolio</t>
  </si>
  <si>
    <t>Dynamic Data Fetching Using VLook-up Function</t>
  </si>
  <si>
    <t>Group Manager's Score</t>
  </si>
  <si>
    <t>Project Portfolio tracking Metrics - as of Feb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</si>
</sst>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dd/mm/yyyy"/>
    <numFmt numFmtId="166" formatCode="0.0%"/>
    <numFmt numFmtId="167" formatCode="_(&quot;$&quot;* #,##0_);_(&quot;$&quot;* \(#,##0\);_(&quot;$&quot;* &quot;-&quot;??_);_(@_)"/>
  </numFmts>
  <fonts count="1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0"/>
      <name val="Calibri"/>
      <family val="2"/>
      <scheme val="minor"/>
    </font>
    <font>
      <b/>
      <sz val="11"/>
      <name val="Calibri"/>
      <family val="2"/>
      <scheme val="minor"/>
    </font>
    <font>
      <b/>
      <sz val="12"/>
      <color theme="0"/>
      <name val="Calibri"/>
      <family val="2"/>
      <scheme val="minor"/>
    </font>
    <font>
      <sz val="11"/>
      <color theme="4" tint="0.79998168889431442"/>
      <name val="Calibri"/>
      <family val="2"/>
      <scheme val="minor"/>
    </font>
    <font>
      <sz val="9"/>
      <color indexed="81"/>
      <name val="Tahoma"/>
      <family val="2"/>
    </font>
    <font>
      <sz val="12"/>
      <color indexed="81"/>
      <name val="Calibri"/>
      <family val="2"/>
      <scheme val="minor"/>
    </font>
    <font>
      <b/>
      <sz val="12"/>
      <color theme="1"/>
      <name val="Calibri"/>
      <family val="2"/>
      <scheme val="minor"/>
    </font>
    <font>
      <sz val="11"/>
      <name val="Calibri"/>
      <family val="2"/>
      <scheme val="minor"/>
    </font>
    <font>
      <b/>
      <sz val="10"/>
      <color indexed="81"/>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2" tint="-0.749992370372631"/>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0" tint="-0.34998626667073579"/>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158">
    <xf numFmtId="0" fontId="0" fillId="0" borderId="0" xfId="0"/>
    <xf numFmtId="0" fontId="0" fillId="0" borderId="0" xfId="0" applyAlignment="1">
      <alignment horizontal="center" vertical="center"/>
    </xf>
    <xf numFmtId="0" fontId="4" fillId="4" borderId="0" xfId="0" applyFont="1" applyFill="1" applyAlignment="1">
      <alignment horizontal="center" vertical="center"/>
    </xf>
    <xf numFmtId="0" fontId="0" fillId="9" borderId="0" xfId="0" applyFill="1"/>
    <xf numFmtId="0" fontId="0" fillId="0" borderId="4" xfId="0" applyBorder="1"/>
    <xf numFmtId="0" fontId="0" fillId="0" borderId="5" xfId="0" applyBorder="1"/>
    <xf numFmtId="165" fontId="0" fillId="0" borderId="0" xfId="0" applyNumberFormat="1"/>
    <xf numFmtId="0" fontId="0" fillId="0" borderId="0" xfId="0" pivotButton="1"/>
    <xf numFmtId="10" fontId="0" fillId="0" borderId="0" xfId="0" applyNumberFormat="1"/>
    <xf numFmtId="0" fontId="3" fillId="6" borderId="0" xfId="0" applyFont="1" applyFill="1" applyAlignment="1">
      <alignment vertical="center"/>
    </xf>
    <xf numFmtId="0" fontId="3" fillId="6" borderId="0" xfId="0" applyFont="1" applyFill="1" applyAlignment="1">
      <alignment horizontal="center" vertical="center"/>
    </xf>
    <xf numFmtId="0" fontId="3" fillId="6" borderId="5" xfId="0" applyFont="1" applyFill="1" applyBorder="1" applyAlignment="1">
      <alignment horizontal="center" vertical="center"/>
    </xf>
    <xf numFmtId="0" fontId="0" fillId="7" borderId="4" xfId="0" applyFill="1" applyBorder="1"/>
    <xf numFmtId="0" fontId="0" fillId="7" borderId="0" xfId="0" applyFill="1"/>
    <xf numFmtId="0" fontId="0" fillId="13" borderId="4" xfId="0" applyFill="1" applyBorder="1"/>
    <xf numFmtId="0" fontId="0" fillId="13" borderId="0" xfId="0" applyFill="1"/>
    <xf numFmtId="0" fontId="0" fillId="2" borderId="4" xfId="0" applyFill="1" applyBorder="1"/>
    <xf numFmtId="0" fontId="0" fillId="2" borderId="0" xfId="0" applyFill="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10" borderId="4" xfId="0" applyFill="1" applyBorder="1"/>
    <xf numFmtId="0" fontId="0" fillId="10" borderId="0" xfId="0" applyFill="1"/>
    <xf numFmtId="0" fontId="0" fillId="10" borderId="6" xfId="0" applyFill="1" applyBorder="1"/>
    <xf numFmtId="0" fontId="0" fillId="10" borderId="7" xfId="0" applyFill="1" applyBorder="1"/>
    <xf numFmtId="0" fontId="2" fillId="11" borderId="3" xfId="0" applyFont="1" applyFill="1" applyBorder="1" applyAlignment="1">
      <alignment horizontal="center" vertical="center"/>
    </xf>
    <xf numFmtId="0" fontId="0" fillId="6" borderId="11" xfId="0" applyFill="1" applyBorder="1" applyAlignment="1">
      <alignment horizontal="center" vertical="center"/>
    </xf>
    <xf numFmtId="9" fontId="0" fillId="7" borderId="5" xfId="0" applyNumberFormat="1" applyFill="1" applyBorder="1" applyAlignment="1">
      <alignment horizontal="center" vertical="center"/>
    </xf>
    <xf numFmtId="9" fontId="0" fillId="0" borderId="5" xfId="0" applyNumberFormat="1" applyBorder="1" applyAlignment="1">
      <alignment horizontal="center" vertical="center"/>
    </xf>
    <xf numFmtId="0" fontId="0" fillId="0" borderId="5" xfId="0" applyBorder="1" applyAlignment="1">
      <alignment horizontal="center" vertical="center"/>
    </xf>
    <xf numFmtId="9" fontId="0" fillId="0" borderId="8" xfId="0" applyNumberFormat="1" applyBorder="1" applyAlignment="1">
      <alignment horizontal="center" vertical="center"/>
    </xf>
    <xf numFmtId="0" fontId="2" fillId="11" borderId="4" xfId="0" applyFont="1" applyFill="1" applyBorder="1" applyAlignment="1">
      <alignment vertical="center"/>
    </xf>
    <xf numFmtId="0" fontId="2" fillId="11" borderId="4" xfId="0" applyFont="1" applyFill="1" applyBorder="1"/>
    <xf numFmtId="0" fontId="2" fillId="11" borderId="6" xfId="0" applyFont="1" applyFill="1" applyBorder="1"/>
    <xf numFmtId="10" fontId="0" fillId="7" borderId="0" xfId="2" applyNumberFormat="1" applyFont="1" applyFill="1" applyBorder="1"/>
    <xf numFmtId="10" fontId="0" fillId="7" borderId="5" xfId="2" applyNumberFormat="1" applyFont="1" applyFill="1" applyBorder="1"/>
    <xf numFmtId="0" fontId="0" fillId="0" borderId="13" xfId="0" applyBorder="1"/>
    <xf numFmtId="0" fontId="0" fillId="0" borderId="14" xfId="0" applyBorder="1"/>
    <xf numFmtId="0" fontId="0" fillId="0" borderId="15" xfId="0" applyBorder="1"/>
    <xf numFmtId="0" fontId="0" fillId="0" borderId="16" xfId="0" applyBorder="1"/>
    <xf numFmtId="10" fontId="0" fillId="13" borderId="0" xfId="2" applyNumberFormat="1" applyFont="1" applyFill="1" applyBorder="1"/>
    <xf numFmtId="10" fontId="0" fillId="13" borderId="5" xfId="2" applyNumberFormat="1" applyFont="1" applyFill="1" applyBorder="1"/>
    <xf numFmtId="164" fontId="0" fillId="13" borderId="0" xfId="1" applyFont="1" applyFill="1" applyBorder="1"/>
    <xf numFmtId="164" fontId="0" fillId="13" borderId="5" xfId="1" applyFont="1" applyFill="1" applyBorder="1"/>
    <xf numFmtId="10" fontId="0" fillId="10" borderId="0" xfId="2" applyNumberFormat="1" applyFont="1" applyFill="1" applyBorder="1"/>
    <xf numFmtId="10" fontId="0" fillId="10" borderId="5" xfId="2" applyNumberFormat="1" applyFont="1" applyFill="1" applyBorder="1"/>
    <xf numFmtId="1" fontId="0" fillId="10" borderId="7" xfId="2" applyNumberFormat="1" applyFont="1" applyFill="1" applyBorder="1"/>
    <xf numFmtId="1" fontId="0" fillId="10" borderId="8" xfId="2" applyNumberFormat="1" applyFont="1" applyFill="1" applyBorder="1"/>
    <xf numFmtId="9" fontId="3" fillId="13" borderId="11" xfId="0" applyNumberFormat="1" applyFont="1" applyFill="1" applyBorder="1" applyAlignment="1">
      <alignment horizontal="center" vertical="center"/>
    </xf>
    <xf numFmtId="166" fontId="0" fillId="0" borderId="0" xfId="0" applyNumberFormat="1"/>
    <xf numFmtId="10" fontId="0" fillId="0" borderId="0" xfId="2" applyNumberFormat="1" applyFont="1" applyBorder="1"/>
    <xf numFmtId="10" fontId="0" fillId="0" borderId="7" xfId="2" applyNumberFormat="1" applyFont="1" applyBorder="1"/>
    <xf numFmtId="0" fontId="3" fillId="6" borderId="4" xfId="0" applyFont="1" applyFill="1" applyBorder="1" applyAlignment="1">
      <alignment vertical="center"/>
    </xf>
    <xf numFmtId="0" fontId="2" fillId="11" borderId="0" xfId="0" applyFont="1" applyFill="1" applyAlignment="1">
      <alignment horizontal="center" vertical="center"/>
    </xf>
    <xf numFmtId="0" fontId="2" fillId="13" borderId="12" xfId="0" applyFont="1" applyFill="1" applyBorder="1" applyAlignment="1">
      <alignment horizontal="center" vertical="center"/>
    </xf>
    <xf numFmtId="0" fontId="5" fillId="13" borderId="12" xfId="0" applyFont="1" applyFill="1" applyBorder="1" applyAlignment="1">
      <alignment horizontal="center" vertical="center"/>
    </xf>
    <xf numFmtId="10" fontId="0" fillId="0" borderId="24" xfId="0" applyNumberFormat="1" applyBorder="1" applyAlignment="1">
      <alignment horizontal="center" vertical="center"/>
    </xf>
    <xf numFmtId="10" fontId="0" fillId="0" borderId="22" xfId="0" applyNumberFormat="1" applyBorder="1" applyAlignment="1">
      <alignment horizontal="center" vertical="center"/>
    </xf>
    <xf numFmtId="10" fontId="0" fillId="0" borderId="25" xfId="0" applyNumberFormat="1" applyBorder="1" applyAlignment="1">
      <alignment horizontal="center" vertical="center"/>
    </xf>
    <xf numFmtId="0" fontId="0" fillId="0" borderId="27" xfId="0" applyBorder="1" applyAlignment="1">
      <alignment horizontal="left"/>
    </xf>
    <xf numFmtId="0" fontId="0" fillId="0" borderId="26" xfId="0" applyBorder="1" applyAlignment="1">
      <alignment horizontal="left"/>
    </xf>
    <xf numFmtId="0" fontId="7" fillId="0" borderId="23" xfId="0" applyFont="1" applyBorder="1"/>
    <xf numFmtId="0" fontId="7" fillId="0" borderId="24" xfId="0" applyFont="1" applyBorder="1"/>
    <xf numFmtId="0" fontId="7" fillId="0" borderId="25" xfId="0" applyFont="1" applyBorder="1"/>
    <xf numFmtId="0" fontId="0" fillId="0" borderId="27" xfId="0" applyBorder="1"/>
    <xf numFmtId="0" fontId="0" fillId="0" borderId="26" xfId="0" applyBorder="1"/>
    <xf numFmtId="0" fontId="0" fillId="0" borderId="23" xfId="0" applyBorder="1"/>
    <xf numFmtId="0" fontId="0" fillId="0" borderId="25" xfId="0" applyBorder="1"/>
    <xf numFmtId="0" fontId="0" fillId="0" borderId="4" xfId="0" applyBorder="1" applyAlignment="1">
      <alignment horizontal="right" vertical="center"/>
    </xf>
    <xf numFmtId="0" fontId="0" fillId="0" borderId="4" xfId="0" applyBorder="1" applyAlignment="1">
      <alignment horizontal="right"/>
    </xf>
    <xf numFmtId="10" fontId="3" fillId="0" borderId="5" xfId="0" applyNumberFormat="1" applyFont="1" applyBorder="1" applyAlignment="1">
      <alignment horizontal="center" vertical="center"/>
    </xf>
    <xf numFmtId="0" fontId="3" fillId="0" borderId="5" xfId="0" applyFont="1" applyBorder="1" applyAlignment="1">
      <alignment horizontal="left" vertical="center"/>
    </xf>
    <xf numFmtId="0" fontId="0" fillId="12" borderId="0" xfId="0" applyFill="1"/>
    <xf numFmtId="0" fontId="3" fillId="14" borderId="0" xfId="0" applyFont="1" applyFill="1" applyAlignment="1">
      <alignment vertical="center"/>
    </xf>
    <xf numFmtId="1" fontId="0" fillId="8" borderId="0" xfId="0" applyNumberFormat="1" applyFill="1" applyAlignment="1">
      <alignment horizontal="center" vertical="center"/>
    </xf>
    <xf numFmtId="0" fontId="0" fillId="8" borderId="0" xfId="0" applyFill="1" applyAlignment="1">
      <alignment horizontal="center" vertical="center"/>
    </xf>
    <xf numFmtId="0" fontId="0" fillId="2" borderId="1" xfId="0" applyFill="1" applyBorder="1"/>
    <xf numFmtId="0" fontId="0" fillId="2" borderId="2" xfId="0" applyFill="1" applyBorder="1"/>
    <xf numFmtId="0" fontId="0" fillId="2" borderId="3" xfId="0" applyFill="1" applyBorder="1"/>
    <xf numFmtId="165" fontId="0" fillId="12" borderId="0" xfId="0" applyNumberFormat="1" applyFill="1"/>
    <xf numFmtId="0" fontId="10" fillId="14" borderId="0" xfId="0" applyFont="1" applyFill="1" applyAlignment="1">
      <alignment horizontal="center" vertical="center"/>
    </xf>
    <xf numFmtId="0" fontId="0" fillId="5" borderId="1" xfId="0" applyFill="1" applyBorder="1"/>
    <xf numFmtId="0" fontId="0" fillId="5" borderId="2" xfId="0" applyFill="1" applyBorder="1"/>
    <xf numFmtId="0" fontId="0" fillId="5" borderId="3" xfId="0" applyFill="1" applyBorder="1"/>
    <xf numFmtId="0" fontId="0" fillId="5" borderId="4" xfId="0" applyFill="1" applyBorder="1"/>
    <xf numFmtId="0" fontId="0" fillId="5" borderId="0" xfId="0" applyFill="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165" fontId="0" fillId="0" borderId="0" xfId="0" applyNumberFormat="1" applyAlignment="1">
      <alignment horizontal="center" vertical="center"/>
    </xf>
    <xf numFmtId="0" fontId="0" fillId="0" borderId="0" xfId="0" applyAlignment="1">
      <alignment horizontal="left"/>
    </xf>
    <xf numFmtId="0" fontId="0" fillId="0" borderId="19" xfId="0" applyBorder="1"/>
    <xf numFmtId="0" fontId="2" fillId="15" borderId="19" xfId="0" applyFont="1" applyFill="1" applyBorder="1" applyAlignment="1">
      <alignment horizontal="center"/>
    </xf>
    <xf numFmtId="0" fontId="2" fillId="15" borderId="20" xfId="0" applyFont="1" applyFill="1" applyBorder="1" applyAlignment="1">
      <alignment horizontal="center"/>
    </xf>
    <xf numFmtId="164" fontId="0" fillId="0" borderId="0" xfId="1" applyFont="1"/>
    <xf numFmtId="164" fontId="0" fillId="0" borderId="0" xfId="0" applyNumberFormat="1"/>
    <xf numFmtId="0" fontId="0" fillId="0" borderId="12" xfId="0" applyBorder="1" applyAlignment="1">
      <alignment vertical="center"/>
    </xf>
    <xf numFmtId="164" fontId="0" fillId="0" borderId="12" xfId="1" applyFont="1" applyBorder="1" applyAlignment="1">
      <alignment vertical="center"/>
    </xf>
    <xf numFmtId="1" fontId="11" fillId="0" borderId="0" xfId="0" applyNumberFormat="1" applyFont="1"/>
    <xf numFmtId="0" fontId="10" fillId="0" borderId="0" xfId="0" applyFont="1" applyAlignment="1">
      <alignment vertical="center"/>
    </xf>
    <xf numFmtId="0" fontId="10" fillId="17" borderId="12" xfId="0" applyFont="1" applyFill="1" applyBorder="1" applyAlignment="1">
      <alignment horizontal="center" vertical="center"/>
    </xf>
    <xf numFmtId="0" fontId="2" fillId="11" borderId="32" xfId="0" applyFont="1" applyFill="1" applyBorder="1" applyAlignment="1">
      <alignment horizontal="center" vertical="center"/>
    </xf>
    <xf numFmtId="10" fontId="3" fillId="0" borderId="33" xfId="0" applyNumberFormat="1" applyFont="1" applyBorder="1"/>
    <xf numFmtId="10" fontId="3" fillId="0" borderId="33" xfId="2" applyNumberFormat="1" applyFont="1" applyBorder="1"/>
    <xf numFmtId="10" fontId="3" fillId="0" borderId="34" xfId="2" applyNumberFormat="1" applyFont="1" applyBorder="1"/>
    <xf numFmtId="0" fontId="0" fillId="14" borderId="0" xfId="0" applyFill="1"/>
    <xf numFmtId="0" fontId="0" fillId="0" borderId="21" xfId="0" applyBorder="1"/>
    <xf numFmtId="167" fontId="0" fillId="0" borderId="0" xfId="1" applyNumberFormat="1" applyFont="1" applyBorder="1"/>
    <xf numFmtId="167" fontId="0" fillId="0" borderId="22" xfId="1" applyNumberFormat="1" applyFont="1" applyBorder="1"/>
    <xf numFmtId="167" fontId="0" fillId="0" borderId="28" xfId="1" applyNumberFormat="1" applyFont="1" applyBorder="1"/>
    <xf numFmtId="167" fontId="0" fillId="0" borderId="20" xfId="1" applyNumberFormat="1" applyFont="1" applyBorder="1"/>
    <xf numFmtId="0" fontId="3" fillId="0" borderId="19" xfId="0" applyFont="1" applyBorder="1"/>
    <xf numFmtId="0" fontId="3" fillId="0" borderId="28" xfId="0" applyFont="1" applyBorder="1"/>
    <xf numFmtId="0" fontId="3" fillId="0" borderId="20" xfId="0" applyFont="1" applyBorder="1"/>
    <xf numFmtId="0" fontId="3" fillId="0" borderId="0" xfId="0" applyFont="1" applyAlignment="1">
      <alignment wrapText="1"/>
    </xf>
    <xf numFmtId="0" fontId="3" fillId="0" borderId="0" xfId="0" applyFont="1"/>
    <xf numFmtId="0" fontId="0" fillId="0" borderId="21" xfId="0" applyBorder="1" applyAlignment="1">
      <alignment horizontal="center" vertical="center"/>
    </xf>
    <xf numFmtId="10" fontId="0" fillId="0" borderId="0" xfId="0" applyNumberFormat="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7" xfId="0" applyBorder="1" applyAlignment="1">
      <alignment horizontal="center" vertical="center"/>
    </xf>
    <xf numFmtId="0" fontId="0" fillId="0" borderId="26" xfId="0" applyBorder="1" applyAlignment="1">
      <alignment horizontal="center" vertical="center"/>
    </xf>
    <xf numFmtId="0" fontId="6" fillId="11" borderId="9" xfId="0" applyFont="1" applyFill="1" applyBorder="1" applyAlignment="1">
      <alignment horizontal="center"/>
    </xf>
    <xf numFmtId="0" fontId="6" fillId="11" borderId="10" xfId="0" applyFont="1" applyFill="1" applyBorder="1" applyAlignment="1">
      <alignment horizontal="center"/>
    </xf>
    <xf numFmtId="0" fontId="6" fillId="11" borderId="11" xfId="0" applyFont="1" applyFill="1" applyBorder="1" applyAlignment="1">
      <alignment horizont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14" borderId="29" xfId="0" applyFill="1" applyBorder="1" applyAlignment="1">
      <alignment horizontal="center" vertical="top" wrapText="1"/>
    </xf>
    <xf numFmtId="0" fontId="0" fillId="14" borderId="30" xfId="0" applyFill="1" applyBorder="1" applyAlignment="1">
      <alignment horizontal="center" vertical="top" wrapText="1"/>
    </xf>
    <xf numFmtId="0" fontId="0" fillId="14" borderId="31" xfId="0" applyFill="1" applyBorder="1" applyAlignment="1">
      <alignment horizontal="center" vertical="top" wrapText="1"/>
    </xf>
    <xf numFmtId="0" fontId="0" fillId="14" borderId="21" xfId="0" applyFill="1" applyBorder="1" applyAlignment="1">
      <alignment horizontal="center" vertical="top" wrapText="1"/>
    </xf>
    <xf numFmtId="0" fontId="0" fillId="14" borderId="0" xfId="0" applyFill="1" applyAlignment="1">
      <alignment horizontal="center" vertical="top" wrapText="1"/>
    </xf>
    <xf numFmtId="0" fontId="0" fillId="14" borderId="22" xfId="0" applyFill="1" applyBorder="1" applyAlignment="1">
      <alignment horizontal="center" vertical="top" wrapText="1"/>
    </xf>
    <xf numFmtId="0" fontId="0" fillId="14" borderId="23" xfId="0" applyFill="1" applyBorder="1" applyAlignment="1">
      <alignment horizontal="center" vertical="top" wrapText="1"/>
    </xf>
    <xf numFmtId="0" fontId="0" fillId="14" borderId="24" xfId="0" applyFill="1" applyBorder="1" applyAlignment="1">
      <alignment horizontal="center" vertical="top" wrapText="1"/>
    </xf>
    <xf numFmtId="0" fontId="0" fillId="14" borderId="25" xfId="0" applyFill="1" applyBorder="1" applyAlignment="1">
      <alignment horizontal="center" vertical="top" wrapText="1"/>
    </xf>
    <xf numFmtId="0" fontId="3" fillId="14" borderId="17" xfId="0" applyFont="1" applyFill="1" applyBorder="1" applyAlignment="1">
      <alignment horizontal="center" vertical="center"/>
    </xf>
    <xf numFmtId="0" fontId="3" fillId="14" borderId="18" xfId="0" applyFont="1" applyFill="1" applyBorder="1" applyAlignment="1">
      <alignment horizontal="center" vertical="center"/>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11" xfId="0" applyFont="1" applyFill="1" applyBorder="1" applyAlignment="1">
      <alignment horizontal="center"/>
    </xf>
    <xf numFmtId="0" fontId="0" fillId="8" borderId="19" xfId="0" applyFill="1" applyBorder="1" applyAlignment="1">
      <alignment horizontal="center"/>
    </xf>
    <xf numFmtId="0" fontId="0" fillId="8" borderId="28" xfId="0" applyFill="1" applyBorder="1" applyAlignment="1">
      <alignment horizontal="center"/>
    </xf>
    <xf numFmtId="0" fontId="0" fillId="8" borderId="20" xfId="0" applyFill="1" applyBorder="1" applyAlignment="1">
      <alignment horizontal="center"/>
    </xf>
    <xf numFmtId="0" fontId="3" fillId="16" borderId="29" xfId="0" applyFont="1" applyFill="1" applyBorder="1" applyAlignment="1">
      <alignment horizontal="center" vertical="center"/>
    </xf>
    <xf numFmtId="0" fontId="3" fillId="16" borderId="30" xfId="0" applyFont="1" applyFill="1" applyBorder="1" applyAlignment="1">
      <alignment horizontal="center" vertical="center"/>
    </xf>
    <xf numFmtId="0" fontId="3" fillId="16" borderId="31" xfId="0" applyFont="1" applyFill="1" applyBorder="1" applyAlignment="1">
      <alignment horizontal="center" vertical="center"/>
    </xf>
    <xf numFmtId="0" fontId="3" fillId="16" borderId="23" xfId="0" applyFont="1" applyFill="1" applyBorder="1" applyAlignment="1">
      <alignment horizontal="center" vertical="center"/>
    </xf>
    <xf numFmtId="0" fontId="3" fillId="16" borderId="24" xfId="0" applyFont="1" applyFill="1" applyBorder="1" applyAlignment="1">
      <alignment horizontal="center" vertical="center"/>
    </xf>
    <xf numFmtId="0" fontId="3" fillId="16" borderId="25" xfId="0" applyFont="1" applyFill="1" applyBorder="1" applyAlignment="1">
      <alignment horizontal="center" vertical="center"/>
    </xf>
    <xf numFmtId="0" fontId="3" fillId="6" borderId="0" xfId="0" applyFont="1" applyFill="1" applyAlignment="1">
      <alignment horizontal="center" vertical="center"/>
    </xf>
    <xf numFmtId="0" fontId="2" fillId="3" borderId="0" xfId="0" applyFont="1" applyFill="1" applyAlignment="1">
      <alignment horizontal="center" vertical="center"/>
    </xf>
    <xf numFmtId="0" fontId="5" fillId="13" borderId="19" xfId="0" applyFont="1" applyFill="1" applyBorder="1" applyAlignment="1">
      <alignment horizontal="center" vertical="center"/>
    </xf>
    <xf numFmtId="0" fontId="5" fillId="13" borderId="20" xfId="0" applyFont="1" applyFill="1" applyBorder="1" applyAlignment="1">
      <alignment horizontal="center" vertical="center"/>
    </xf>
    <xf numFmtId="0" fontId="3" fillId="2" borderId="0" xfId="0" applyFont="1" applyFill="1" applyAlignment="1">
      <alignment horizontal="center" vertical="center" wrapText="1"/>
    </xf>
  </cellXfs>
  <cellStyles count="3">
    <cellStyle name="Currency" xfId="1" builtinId="4"/>
    <cellStyle name="Normal" xfId="0" builtinId="0"/>
    <cellStyle name="Percent" xfId="2" builtinId="5"/>
  </cellStyles>
  <dxfs count="19">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readingOrder="0"/>
    </dxf>
    <dxf>
      <alignment horizontal="center" readingOrder="0"/>
    </dxf>
    <dxf>
      <alignment vertical="center" readingOrder="0"/>
    </dxf>
    <dxf>
      <alignment vertical="center" readingOrder="0"/>
    </dxf>
    <dxf>
      <font>
        <color theme="4" tint="0.79998168889431442"/>
      </font>
    </dxf>
    <dxf>
      <font>
        <color theme="4" tint="0.79998168889431442"/>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[Project_Portfolio Performance Metrics.xlsm]Interactive Charts!PivotTable1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solidFill>
                  <a:sysClr val="windowText" lastClr="000000"/>
                </a:solidFill>
              </a:rPr>
              <a:t>Project count under different Phases</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'Interactive Charts'!$C$5</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'Interactive Charts'!$B$6:$B$13</c:f>
              <c:strCache>
                <c:ptCount val="7"/>
                <c:pt idx="0">
                  <c:v>Design</c:v>
                </c:pt>
                <c:pt idx="1">
                  <c:v>Estimation</c:v>
                </c:pt>
                <c:pt idx="2">
                  <c:v>Implementation</c:v>
                </c:pt>
                <c:pt idx="3">
                  <c:v>Initiation</c:v>
                </c:pt>
                <c:pt idx="4">
                  <c:v>Requirements</c:v>
                </c:pt>
                <c:pt idx="5">
                  <c:v>UAT Testing</c:v>
                </c:pt>
                <c:pt idx="6">
                  <c:v>XAT Testing</c:v>
                </c:pt>
              </c:strCache>
            </c:strRef>
          </c:cat>
          <c:val>
            <c:numRef>
              <c:f>'Interactive Charts'!$C$6:$C$13</c:f>
              <c:numCache>
                <c:formatCode>General</c:formatCode>
                <c:ptCount val="7"/>
                <c:pt idx="0">
                  <c:v>17</c:v>
                </c:pt>
                <c:pt idx="1">
                  <c:v>1</c:v>
                </c:pt>
                <c:pt idx="2">
                  <c:v>11</c:v>
                </c:pt>
                <c:pt idx="3">
                  <c:v>9</c:v>
                </c:pt>
                <c:pt idx="4">
                  <c:v>24</c:v>
                </c:pt>
                <c:pt idx="5">
                  <c:v>4</c:v>
                </c:pt>
                <c:pt idx="6">
                  <c:v>20</c:v>
                </c:pt>
              </c:numCache>
            </c:numRef>
          </c:val>
          <c:extLst>
            <c:ext xmlns:c16="http://schemas.microsoft.com/office/drawing/2014/chart" uri="{C3380CC4-5D6E-409C-BE32-E72D297353CC}">
              <c16:uniqueId val="{00000000-B424-414A-9C1B-3B11410165C2}"/>
            </c:ext>
          </c:extLst>
        </c:ser>
        <c:dLbls>
          <c:showLegendKey val="0"/>
          <c:showVal val="0"/>
          <c:showCatName val="0"/>
          <c:showSerName val="0"/>
          <c:showPercent val="0"/>
          <c:showBubbleSize val="0"/>
        </c:dLbls>
        <c:gapWidth val="219"/>
        <c:overlap val="-27"/>
        <c:axId val="379943280"/>
        <c:axId val="382943120"/>
      </c:barChart>
      <c:catAx>
        <c:axId val="37994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382943120"/>
        <c:crosses val="autoZero"/>
        <c:auto val="1"/>
        <c:lblAlgn val="ctr"/>
        <c:lblOffset val="100"/>
        <c:noMultiLvlLbl val="0"/>
      </c:catAx>
      <c:valAx>
        <c:axId val="38294312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943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2</xdr:col>
      <xdr:colOff>238125</xdr:colOff>
      <xdr:row>11</xdr:row>
      <xdr:rowOff>0</xdr:rowOff>
    </xdr:from>
    <xdr:to>
      <xdr:col>2</xdr:col>
      <xdr:colOff>584712</xdr:colOff>
      <xdr:row>13</xdr:row>
      <xdr:rowOff>76200</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2143125"/>
          <a:ext cx="346587"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228601</xdr:colOff>
      <xdr:row>8</xdr:row>
      <xdr:rowOff>19050</xdr:rowOff>
    </xdr:from>
    <xdr:to>
      <xdr:col>2</xdr:col>
      <xdr:colOff>584039</xdr:colOff>
      <xdr:row>10</xdr:row>
      <xdr:rowOff>133350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7701" y="1581150"/>
          <a:ext cx="355438"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228600</xdr:colOff>
      <xdr:row>5</xdr:row>
      <xdr:rowOff>47625</xdr:rowOff>
    </xdr:from>
    <xdr:to>
      <xdr:col>2</xdr:col>
      <xdr:colOff>600827</xdr:colOff>
      <xdr:row>7</xdr:row>
      <xdr:rowOff>180975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 y="1028700"/>
          <a:ext cx="372227"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923925</xdr:colOff>
      <xdr:row>2</xdr:row>
      <xdr:rowOff>19050</xdr:rowOff>
    </xdr:from>
    <xdr:to>
      <xdr:col>3</xdr:col>
      <xdr:colOff>323850</xdr:colOff>
      <xdr:row>3</xdr:row>
      <xdr:rowOff>263525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43025" y="314325"/>
          <a:ext cx="571500" cy="454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19050</xdr:colOff>
      <xdr:row>14</xdr:row>
      <xdr:rowOff>76200</xdr:rowOff>
    </xdr:from>
    <xdr:to>
      <xdr:col>4</xdr:col>
      <xdr:colOff>19050</xdr:colOff>
      <xdr:row>24</xdr:row>
      <xdr:rowOff>28575</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8150" y="2790825"/>
          <a:ext cx="2524125"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1219200</xdr:colOff>
      <xdr:row>5</xdr:row>
      <xdr:rowOff>114300</xdr:rowOff>
    </xdr:from>
    <xdr:to>
      <xdr:col>14</xdr:col>
      <xdr:colOff>123825</xdr:colOff>
      <xdr:row>11</xdr:row>
      <xdr:rowOff>180975</xdr:rowOff>
    </xdr:to>
    <xdr:cxnSp macro="">
      <xdr:nvCxnSpPr>
        <xdr:cNvPr id="6" name="Straight Arrow Connector 5">
          <a:extLst>
            <a:ext uri="{FF2B5EF4-FFF2-40B4-BE49-F238E27FC236}">
              <a16:creationId xmlns:a16="http://schemas.microsoft.com/office/drawing/2014/main" id="{00000000-0008-0000-0000-000006000000}"/>
            </a:ext>
          </a:extLst>
        </xdr:cNvPr>
        <xdr:cNvCxnSpPr/>
      </xdr:nvCxnSpPr>
      <xdr:spPr>
        <a:xfrm>
          <a:off x="4219575" y="1095375"/>
          <a:ext cx="5676900" cy="1228725"/>
        </a:xfrm>
        <a:prstGeom prst="straightConnector1">
          <a:avLst/>
        </a:prstGeom>
        <a:ln w="15875">
          <a:solidFill>
            <a:schemeClr val="tx1">
              <a:lumMod val="95000"/>
              <a:lumOff val="5000"/>
            </a:schemeClr>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10</xdr:row>
      <xdr:rowOff>123825</xdr:rowOff>
    </xdr:from>
    <xdr:to>
      <xdr:col>17</xdr:col>
      <xdr:colOff>400050</xdr:colOff>
      <xdr:row>13</xdr:row>
      <xdr:rowOff>19050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906000" y="2076450"/>
          <a:ext cx="2295525" cy="4667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 Check the calculations for this metric in "Data" &amp;"Pivot" tab</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2</xdr:row>
          <xdr:rowOff>180975</xdr:rowOff>
        </xdr:from>
        <xdr:to>
          <xdr:col>3</xdr:col>
          <xdr:colOff>552450</xdr:colOff>
          <xdr:row>4</xdr:row>
          <xdr:rowOff>57150</xdr:rowOff>
        </xdr:to>
        <xdr:sp macro="" textlink="">
          <xdr:nvSpPr>
            <xdr:cNvPr id="15362" name="ComboBox1"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1181100</xdr:colOff>
      <xdr:row>3</xdr:row>
      <xdr:rowOff>47625</xdr:rowOff>
    </xdr:from>
    <xdr:to>
      <xdr:col>2</xdr:col>
      <xdr:colOff>47625</xdr:colOff>
      <xdr:row>3</xdr:row>
      <xdr:rowOff>171450</xdr:rowOff>
    </xdr:to>
    <xdr:sp macro="" textlink="">
      <xdr:nvSpPr>
        <xdr:cNvPr id="2" name="Right Arrow 1">
          <a:extLst>
            <a:ext uri="{FF2B5EF4-FFF2-40B4-BE49-F238E27FC236}">
              <a16:creationId xmlns:a16="http://schemas.microsoft.com/office/drawing/2014/main" id="{00000000-0008-0000-0100-000002000000}"/>
            </a:ext>
          </a:extLst>
        </xdr:cNvPr>
        <xdr:cNvSpPr/>
      </xdr:nvSpPr>
      <xdr:spPr>
        <a:xfrm>
          <a:off x="1790700" y="628650"/>
          <a:ext cx="390525" cy="123825"/>
        </a:xfrm>
        <a:prstGeom prst="rightArrow">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314325</xdr:colOff>
          <xdr:row>12</xdr:row>
          <xdr:rowOff>9525</xdr:rowOff>
        </xdr:from>
        <xdr:to>
          <xdr:col>3</xdr:col>
          <xdr:colOff>542925</xdr:colOff>
          <xdr:row>13</xdr:row>
          <xdr:rowOff>76200</xdr:rowOff>
        </xdr:to>
        <xdr:sp macro="" textlink="">
          <xdr:nvSpPr>
            <xdr:cNvPr id="15365" name="ComboBox2" hidden="1">
              <a:extLst>
                <a:ext uri="{63B3BB69-23CF-44E3-9099-C40C66FF867C}">
                  <a14:compatExt spid="_x0000_s15365"/>
                </a:ext>
                <a:ext uri="{FF2B5EF4-FFF2-40B4-BE49-F238E27FC236}">
                  <a16:creationId xmlns:a16="http://schemas.microsoft.com/office/drawing/2014/main" id="{00000000-0008-0000-01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1238250</xdr:colOff>
      <xdr:row>12</xdr:row>
      <xdr:rowOff>57150</xdr:rowOff>
    </xdr:from>
    <xdr:to>
      <xdr:col>2</xdr:col>
      <xdr:colOff>104775</xdr:colOff>
      <xdr:row>12</xdr:row>
      <xdr:rowOff>180975</xdr:rowOff>
    </xdr:to>
    <xdr:sp macro="" textlink="">
      <xdr:nvSpPr>
        <xdr:cNvPr id="8" name="Right Arrow 7">
          <a:extLst>
            <a:ext uri="{FF2B5EF4-FFF2-40B4-BE49-F238E27FC236}">
              <a16:creationId xmlns:a16="http://schemas.microsoft.com/office/drawing/2014/main" id="{00000000-0008-0000-0100-000008000000}"/>
            </a:ext>
          </a:extLst>
        </xdr:cNvPr>
        <xdr:cNvSpPr/>
      </xdr:nvSpPr>
      <xdr:spPr>
        <a:xfrm>
          <a:off x="1847850" y="2571750"/>
          <a:ext cx="390525" cy="123825"/>
        </a:xfrm>
        <a:prstGeom prst="rightArrow">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428625</xdr:colOff>
      <xdr:row>2</xdr:row>
      <xdr:rowOff>185737</xdr:rowOff>
    </xdr:from>
    <xdr:to>
      <xdr:col>15</xdr:col>
      <xdr:colOff>123825</xdr:colOff>
      <xdr:row>17</xdr:row>
      <xdr:rowOff>71437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66675</xdr:colOff>
      <xdr:row>2</xdr:row>
      <xdr:rowOff>152400</xdr:rowOff>
    </xdr:from>
    <xdr:to>
      <xdr:col>6</xdr:col>
      <xdr:colOff>66675</xdr:colOff>
      <xdr:row>16</xdr:row>
      <xdr:rowOff>9525</xdr:rowOff>
    </xdr:to>
    <mc:AlternateContent xmlns:mc="http://schemas.openxmlformats.org/markup-compatibility/2006" xmlns:a14="http://schemas.microsoft.com/office/drawing/2010/main">
      <mc:Choice Requires="a14">
        <xdr:graphicFrame macro="">
          <xdr:nvGraphicFramePr>
            <xdr:cNvPr id="3" name="Project Manage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Project Manager"/>
            </a:graphicData>
          </a:graphic>
        </xdr:graphicFrame>
      </mc:Choice>
      <mc:Fallback xmlns="">
        <xdr:sp macro="" textlink="">
          <xdr:nvSpPr>
            <xdr:cNvPr id="0" name=""/>
            <xdr:cNvSpPr>
              <a:spLocks noTextEdit="1"/>
            </xdr:cNvSpPr>
          </xdr:nvSpPr>
          <xdr:spPr>
            <a:xfrm>
              <a:off x="2905125" y="533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66675</xdr:colOff>
      <xdr:row>16</xdr:row>
      <xdr:rowOff>76200</xdr:rowOff>
    </xdr:from>
    <xdr:to>
      <xdr:col>6</xdr:col>
      <xdr:colOff>66675</xdr:colOff>
      <xdr:row>29</xdr:row>
      <xdr:rowOff>123825</xdr:rowOff>
    </xdr:to>
    <mc:AlternateContent xmlns:mc="http://schemas.openxmlformats.org/markup-compatibility/2006" xmlns:a14="http://schemas.microsoft.com/office/drawing/2010/main">
      <mc:Choice Requires="a14">
        <xdr:graphicFrame macro="">
          <xdr:nvGraphicFramePr>
            <xdr:cNvPr id="4" name="Project Statu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Project Status"/>
            </a:graphicData>
          </a:graphic>
        </xdr:graphicFrame>
      </mc:Choice>
      <mc:Fallback xmlns="">
        <xdr:sp macro="" textlink="">
          <xdr:nvSpPr>
            <xdr:cNvPr id="0" name=""/>
            <xdr:cNvSpPr>
              <a:spLocks noTextEdit="1"/>
            </xdr:cNvSpPr>
          </xdr:nvSpPr>
          <xdr:spPr>
            <a:xfrm>
              <a:off x="2905125" y="3124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4</xdr:row>
          <xdr:rowOff>38100</xdr:rowOff>
        </xdr:from>
        <xdr:to>
          <xdr:col>8</xdr:col>
          <xdr:colOff>495300</xdr:colOff>
          <xdr:row>5</xdr:row>
          <xdr:rowOff>114300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600075</xdr:colOff>
      <xdr:row>2</xdr:row>
      <xdr:rowOff>38100</xdr:rowOff>
    </xdr:from>
    <xdr:to>
      <xdr:col>17</xdr:col>
      <xdr:colOff>590550</xdr:colOff>
      <xdr:row>20</xdr:row>
      <xdr:rowOff>19050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10475" y="457200"/>
          <a:ext cx="3648075" cy="34099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Nested formula to check 3 parameters and report if cut-off date has missed.</a:t>
          </a:r>
        </a:p>
        <a:p>
          <a:r>
            <a:rPr lang="en-US" sz="1100"/>
            <a:t>Phase, </a:t>
          </a:r>
        </a:p>
        <a:p>
          <a:r>
            <a:rPr lang="en-US" sz="1100"/>
            <a:t>Status,</a:t>
          </a:r>
        </a:p>
        <a:p>
          <a:r>
            <a:rPr lang="en-US" sz="1100"/>
            <a:t>Phase End date.</a:t>
          </a:r>
        </a:p>
        <a:p>
          <a:endParaRPr lang="en-US" sz="1100"/>
        </a:p>
        <a:p>
          <a:r>
            <a:rPr lang="en-US" sz="1100"/>
            <a:t>=IF(AND(F2&lt;&gt;"Initiation",F2&lt;&gt;"Estimation",F2&lt;&gt;"Implementation",G2&lt;&gt;"OnHold",H2&lt;TODAY()),"Missed Phase End Date","OK")</a:t>
          </a:r>
        </a:p>
        <a:p>
          <a:endParaRPr lang="en-US" sz="1100"/>
        </a:p>
        <a:p>
          <a:r>
            <a:rPr lang="en-US" sz="1100"/>
            <a:t>Projects in below status and Phase excluded</a:t>
          </a:r>
        </a:p>
        <a:p>
          <a:r>
            <a:rPr lang="en-US" sz="1100"/>
            <a:t>On-Hold Projects</a:t>
          </a:r>
        </a:p>
        <a:p>
          <a:r>
            <a:rPr lang="en-US" sz="1100"/>
            <a:t>Initiation, Estimation, Implementation</a:t>
          </a:r>
        </a:p>
        <a:p>
          <a:endParaRPr lang="en-US" sz="1100"/>
        </a:p>
        <a:p>
          <a:r>
            <a:rPr lang="en-US" sz="1100"/>
            <a:t>* Parameter columns highlighted in Blue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GANESH" refreshedDate="43649.468241898147" createdVersion="5" refreshedVersion="5" minRefreshableVersion="3" recordCount="99" xr:uid="{00000000-000A-0000-FFFF-FFFF00000000}">
  <cacheSource type="worksheet">
    <worksheetSource ref="A1:K100" sheet="Data"/>
  </cacheSource>
  <cacheFields count="11">
    <cacheField name="Project ID" numFmtId="0">
      <sharedItems containsSemiMixedTypes="0" containsString="0" containsNumber="1" containsInteger="1" minValue="390531" maxValue="390629"/>
    </cacheField>
    <cacheField name="Project name" numFmtId="0">
      <sharedItems/>
    </cacheField>
    <cacheField name="Project Manager" numFmtId="0">
      <sharedItems count="15">
        <s v="Aaron Finch"/>
        <s v="David Warner"/>
        <s v="Usman Khawaja"/>
        <s v="Steve Smith"/>
        <s v="Shaun Marsh"/>
        <s v="Glenn Maxwell"/>
        <s v="Marcus Stoinis"/>
        <s v="Alex Carey (wk)"/>
        <s v="Pat Cummins"/>
        <s v="Mitchell Starc"/>
        <s v="Nathan Lyon"/>
        <s v="Adam Zampa"/>
        <s v="Jason Behrendorff"/>
        <s v="Nathan Coulter-Nile"/>
        <s v="Kane Richardson"/>
      </sharedItems>
    </cacheField>
    <cacheField name="PMs Manager" numFmtId="0">
      <sharedItems count="3">
        <s v="Barun"/>
        <s v="Jim"/>
        <s v="Steve"/>
      </sharedItems>
    </cacheField>
    <cacheField name="Lifecycle" numFmtId="0">
      <sharedItems/>
    </cacheField>
    <cacheField name="Current Phase" numFmtId="0">
      <sharedItems/>
    </cacheField>
    <cacheField name="Phase End Date" numFmtId="165">
      <sharedItems containsSemiMixedTypes="0" containsNonDate="0" containsDate="1" containsString="0" minDate="2019-05-15T00:00:00" maxDate="2019-07-12T00:00:00"/>
    </cacheField>
    <cacheField name="Current Production date" numFmtId="165">
      <sharedItems containsSemiMixedTypes="0" containsNonDate="0" containsDate="1" containsString="0" minDate="2019-05-15T00:00:00" maxDate="2019-07-12T00:00:00"/>
    </cacheField>
    <cacheField name="Actual Production date" numFmtId="165">
      <sharedItems containsSemiMixedTypes="0" containsNonDate="0" containsDate="1" containsString="0" minDate="2019-05-15T00:00:00" maxDate="2019-07-12T00:00:00"/>
    </cacheField>
    <cacheField name="Productiondate Variance" numFmtId="1">
      <sharedItems containsSemiMixedTypes="0" containsString="0" containsNumber="1" containsInteger="1" minValue="-52" maxValue="54"/>
    </cacheField>
    <cacheField name="Exception Check" numFmtId="0">
      <sharedItems count="2">
        <s v="Complied"/>
        <s v="Non-Complied"/>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GANESH" refreshedDate="43649.649640856478" createdVersion="5" refreshedVersion="5" minRefreshableVersion="3" recordCount="99" xr:uid="{00000000-000A-0000-FFFF-FFFF01000000}">
  <cacheSource type="worksheet">
    <worksheetSource ref="A1:K100" sheet="Complex Formula"/>
  </cacheSource>
  <cacheFields count="11">
    <cacheField name="Project ID" numFmtId="0">
      <sharedItems containsSemiMixedTypes="0" containsString="0" containsNumber="1" containsInteger="1" minValue="390531" maxValue="390629"/>
    </cacheField>
    <cacheField name="Project name" numFmtId="0">
      <sharedItems/>
    </cacheField>
    <cacheField name="Project Manager" numFmtId="0">
      <sharedItems count="15">
        <s v="Aaron Finch"/>
        <s v="David Warner"/>
        <s v="Usman Khawaja"/>
        <s v="Steve Smith"/>
        <s v="Shaun Marsh"/>
        <s v="Glenn Maxwell"/>
        <s v="Marcus Stoinis"/>
        <s v="Alex Carey (wk)"/>
        <s v="Pat Cummins"/>
        <s v="Mitchell Starc"/>
        <s v="Nathan Lyon"/>
        <s v="Adam Zampa"/>
        <s v="Jason Behrendorff"/>
        <s v="Nathan Coulter-Nile"/>
        <s v="Kane Richardson"/>
      </sharedItems>
    </cacheField>
    <cacheField name="PMs Manager" numFmtId="0">
      <sharedItems/>
    </cacheField>
    <cacheField name="Lifecycle" numFmtId="0">
      <sharedItems/>
    </cacheField>
    <cacheField name="Current Phase" numFmtId="0">
      <sharedItems count="7">
        <s v="Requirements"/>
        <s v="Design"/>
        <s v="XAT Testing"/>
        <s v="Estimation"/>
        <s v="Implementation"/>
        <s v="Initiation"/>
        <s v="UAT Testing"/>
      </sharedItems>
    </cacheField>
    <cacheField name="Project Status" numFmtId="0">
      <sharedItems count="2">
        <s v="Active"/>
        <s v="On-hold"/>
      </sharedItems>
    </cacheField>
    <cacheField name="Phase End Date" numFmtId="165">
      <sharedItems containsSemiMixedTypes="0" containsNonDate="0" containsDate="1" containsString="0" minDate="2019-05-15T00:00:00" maxDate="2019-07-12T00:00:00"/>
    </cacheField>
    <cacheField name="Current Production date" numFmtId="165">
      <sharedItems containsSemiMixedTypes="0" containsNonDate="0" containsDate="1" containsString="0" minDate="2019-05-15T00:00:00" maxDate="2019-07-12T00:00:00"/>
    </cacheField>
    <cacheField name="Actual Production date" numFmtId="165">
      <sharedItems containsSemiMixedTypes="0" containsNonDate="0" containsDate="1" containsString="0" minDate="2019-05-15T00:00:00" maxDate="2019-07-12T00:00:00"/>
    </cacheField>
    <cacheField name="Formula" numFmtId="0">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GANESH" refreshedDate="43649.758040162036" createdVersion="5" refreshedVersion="5" minRefreshableVersion="3" recordCount="99" xr:uid="{00000000-000A-0000-FFFF-FFFF02000000}">
  <cacheSource type="worksheet">
    <worksheetSource ref="U1:AA100" sheet="Budget Analysis"/>
  </cacheSource>
  <cacheFields count="7">
    <cacheField name="Project ID" numFmtId="0">
      <sharedItems/>
    </cacheField>
    <cacheField name="Project name" numFmtId="0">
      <sharedItems/>
    </cacheField>
    <cacheField name="Project Manager" numFmtId="0">
      <sharedItems/>
    </cacheField>
    <cacheField name="Portfolio Manager" numFmtId="0">
      <sharedItems count="3">
        <s v="Barun"/>
        <s v="Jim"/>
        <s v="Steve"/>
      </sharedItems>
    </cacheField>
    <cacheField name="Budget" numFmtId="164">
      <sharedItems containsSemiMixedTypes="0" containsString="0" containsNumber="1" containsInteger="1" minValue="500" maxValue="55000" count="7">
        <n v="50000"/>
        <n v="30000"/>
        <n v="40000"/>
        <n v="20000"/>
        <n v="55000"/>
        <n v="45000"/>
        <n v="500"/>
      </sharedItems>
    </cacheField>
    <cacheField name="Budget Utilized" numFmtId="164">
      <sharedItems containsSemiMixedTypes="0" containsString="0" containsNumber="1" containsInteger="1" minValue="500" maxValue="65000"/>
    </cacheField>
    <cacheField name="Variance" numFmtId="164">
      <sharedItems containsSemiMixedTypes="0" containsString="0" containsNumber="1" containsInteger="1" minValue="-54500" maxValue="39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
  <r>
    <n v="390531"/>
    <s v="Xxx yyyy xx yyyy vvv"/>
    <x v="0"/>
    <x v="0"/>
    <s v="Waterfall"/>
    <s v="Requirements"/>
    <d v="2019-05-15T00:00:00"/>
    <d v="2019-07-04T00:00:00"/>
    <d v="2019-05-21T00:00:00"/>
    <n v="44"/>
    <x v="0"/>
  </r>
  <r>
    <n v="390532"/>
    <s v="cccc vvvv gggg mmm "/>
    <x v="1"/>
    <x v="1"/>
    <s v="Iterative"/>
    <s v="Design"/>
    <d v="2019-05-16T00:00:00"/>
    <d v="2019-07-05T00:00:00"/>
    <d v="2019-05-22T00:00:00"/>
    <n v="44"/>
    <x v="0"/>
  </r>
  <r>
    <n v="390533"/>
    <s v="Xxx yyyy xx yyyy vvv"/>
    <x v="2"/>
    <x v="2"/>
    <s v="Agile"/>
    <s v="XAT Testing"/>
    <d v="2019-05-17T00:00:00"/>
    <d v="2019-07-06T00:00:00"/>
    <d v="2019-05-23T00:00:00"/>
    <n v="44"/>
    <x v="0"/>
  </r>
  <r>
    <n v="390534"/>
    <s v="cccc vvvv gggg mmm "/>
    <x v="3"/>
    <x v="0"/>
    <s v="Iterative"/>
    <s v="Design"/>
    <d v="2019-05-18T00:00:00"/>
    <d v="2019-07-07T00:00:00"/>
    <d v="2019-05-24T00:00:00"/>
    <n v="44"/>
    <x v="0"/>
  </r>
  <r>
    <n v="390535"/>
    <s v="Xxx yyyy xx yyyy vvv"/>
    <x v="4"/>
    <x v="1"/>
    <s v="Agile"/>
    <s v="Requirements"/>
    <d v="2019-05-19T00:00:00"/>
    <d v="2019-07-08T00:00:00"/>
    <d v="2019-05-25T00:00:00"/>
    <n v="44"/>
    <x v="0"/>
  </r>
  <r>
    <n v="390536"/>
    <s v="cccc vvvv gggg mmm "/>
    <x v="5"/>
    <x v="2"/>
    <s v="Waterfall"/>
    <s v="Implementation"/>
    <d v="2019-05-20T00:00:00"/>
    <d v="2019-07-09T00:00:00"/>
    <d v="2019-05-26T00:00:00"/>
    <n v="44"/>
    <x v="0"/>
  </r>
  <r>
    <n v="390537"/>
    <s v="Xxx yyyy xx yyyy vvv"/>
    <x v="6"/>
    <x v="0"/>
    <s v="Agile"/>
    <s v="Requirements"/>
    <d v="2019-05-21T00:00:00"/>
    <d v="2019-07-10T00:00:00"/>
    <d v="2019-05-27T00:00:00"/>
    <n v="44"/>
    <x v="0"/>
  </r>
  <r>
    <n v="390538"/>
    <s v="cccc vvvv gggg mmm "/>
    <x v="7"/>
    <x v="1"/>
    <s v="Iterative"/>
    <s v="XAT Testing"/>
    <d v="2019-05-22T00:00:00"/>
    <d v="2019-07-11T00:00:00"/>
    <d v="2019-05-28T00:00:00"/>
    <n v="44"/>
    <x v="0"/>
  </r>
  <r>
    <n v="390539"/>
    <s v="Xxx yyyy xx yyyy vvv"/>
    <x v="8"/>
    <x v="2"/>
    <s v="Waterfall"/>
    <s v="Implementation"/>
    <d v="2019-05-23T00:00:00"/>
    <d v="2019-05-25T00:00:00"/>
    <d v="2019-05-29T00:00:00"/>
    <n v="-4"/>
    <x v="1"/>
  </r>
  <r>
    <n v="390540"/>
    <s v="cccc vvvv gggg mmm "/>
    <x v="9"/>
    <x v="0"/>
    <s v="Waterfall"/>
    <s v="XAT Testing"/>
    <d v="2019-05-24T00:00:00"/>
    <d v="2019-05-26T00:00:00"/>
    <d v="2019-05-30T00:00:00"/>
    <n v="-4"/>
    <x v="1"/>
  </r>
  <r>
    <n v="390541"/>
    <s v="Xxx yyyy xx yyyy vvv"/>
    <x v="10"/>
    <x v="1"/>
    <s v="Iterative"/>
    <s v="Initiation"/>
    <d v="2019-05-25T00:00:00"/>
    <d v="2019-05-27T00:00:00"/>
    <d v="2019-05-31T00:00:00"/>
    <n v="-4"/>
    <x v="1"/>
  </r>
  <r>
    <n v="390542"/>
    <s v="cccc vvvv gggg mmm "/>
    <x v="11"/>
    <x v="2"/>
    <s v="Agile"/>
    <s v="XAT Testing"/>
    <d v="2019-05-26T00:00:00"/>
    <d v="2019-05-28T00:00:00"/>
    <d v="2019-06-01T00:00:00"/>
    <n v="-4"/>
    <x v="1"/>
  </r>
  <r>
    <n v="390543"/>
    <s v="Xxx yyyy xx yyyy vvv"/>
    <x v="12"/>
    <x v="0"/>
    <s v="Iterative"/>
    <s v="Initiation"/>
    <d v="2019-05-27T00:00:00"/>
    <d v="2019-05-29T00:00:00"/>
    <d v="2019-06-02T00:00:00"/>
    <n v="-4"/>
    <x v="1"/>
  </r>
  <r>
    <n v="390544"/>
    <s v="cccc vvvv gggg mmm "/>
    <x v="13"/>
    <x v="1"/>
    <s v="Agile"/>
    <s v="Requirements"/>
    <d v="2019-05-28T00:00:00"/>
    <d v="2019-05-30T00:00:00"/>
    <d v="2019-06-03T00:00:00"/>
    <n v="-4"/>
    <x v="1"/>
  </r>
  <r>
    <n v="390545"/>
    <s v="Xxx yyyy xx yyyy vvv"/>
    <x v="14"/>
    <x v="2"/>
    <s v="Waterfall"/>
    <s v="Design"/>
    <d v="2019-05-29T00:00:00"/>
    <d v="2019-05-31T00:00:00"/>
    <d v="2019-06-04T00:00:00"/>
    <n v="-4"/>
    <x v="1"/>
  </r>
  <r>
    <n v="390546"/>
    <s v="cccc vvvv gggg mmm "/>
    <x v="5"/>
    <x v="2"/>
    <s v="Agile"/>
    <s v="Implementation"/>
    <d v="2019-05-30T00:00:00"/>
    <d v="2019-06-01T00:00:00"/>
    <d v="2019-06-05T00:00:00"/>
    <n v="-4"/>
    <x v="1"/>
  </r>
  <r>
    <n v="390547"/>
    <s v="Xxx yyyy xx yyyy vvv"/>
    <x v="6"/>
    <x v="0"/>
    <s v="Iterative"/>
    <s v="Design"/>
    <d v="2019-05-31T00:00:00"/>
    <d v="2019-06-02T00:00:00"/>
    <d v="2019-06-06T00:00:00"/>
    <n v="-4"/>
    <x v="1"/>
  </r>
  <r>
    <n v="390548"/>
    <s v="cccc vvvv gggg mmm "/>
    <x v="7"/>
    <x v="1"/>
    <s v="Waterfall"/>
    <s v="Requirements"/>
    <d v="2019-06-01T00:00:00"/>
    <d v="2019-06-03T00:00:00"/>
    <d v="2019-06-07T00:00:00"/>
    <n v="-4"/>
    <x v="1"/>
  </r>
  <r>
    <n v="390549"/>
    <s v="Xxx yyyy xx yyyy vvv"/>
    <x v="8"/>
    <x v="2"/>
    <s v="Waterfall"/>
    <s v="Design"/>
    <d v="2019-06-02T00:00:00"/>
    <d v="2019-06-04T00:00:00"/>
    <d v="2019-06-08T00:00:00"/>
    <n v="-4"/>
    <x v="1"/>
  </r>
  <r>
    <n v="390550"/>
    <s v="cccc vvvv gggg mmm "/>
    <x v="1"/>
    <x v="1"/>
    <s v="Iterative"/>
    <s v="XAT Testing"/>
    <d v="2019-06-03T00:00:00"/>
    <d v="2019-06-05T00:00:00"/>
    <d v="2019-06-09T00:00:00"/>
    <n v="-4"/>
    <x v="1"/>
  </r>
  <r>
    <n v="390551"/>
    <s v="Xxx yyyy xx yyyy vvv"/>
    <x v="2"/>
    <x v="2"/>
    <s v="Agile"/>
    <s v="Requirements"/>
    <d v="2019-06-04T00:00:00"/>
    <d v="2019-06-06T00:00:00"/>
    <d v="2019-06-10T00:00:00"/>
    <n v="-4"/>
    <x v="1"/>
  </r>
  <r>
    <n v="390552"/>
    <s v="cccc vvvv gggg mmm "/>
    <x v="3"/>
    <x v="0"/>
    <s v="Iterative"/>
    <s v="Initiation"/>
    <d v="2019-06-05T00:00:00"/>
    <d v="2019-06-07T00:00:00"/>
    <d v="2019-06-11T00:00:00"/>
    <n v="-4"/>
    <x v="1"/>
  </r>
  <r>
    <n v="390553"/>
    <s v="Xxx yyyy xx yyyy vvv"/>
    <x v="1"/>
    <x v="1"/>
    <s v="Agile"/>
    <s v="UAT Testing"/>
    <d v="2019-06-06T00:00:00"/>
    <d v="2019-06-08T00:00:00"/>
    <d v="2019-06-12T00:00:00"/>
    <n v="-4"/>
    <x v="1"/>
  </r>
  <r>
    <n v="390554"/>
    <s v="cccc vvvv gggg mmm "/>
    <x v="2"/>
    <x v="2"/>
    <s v="Waterfall"/>
    <s v="Requirements"/>
    <d v="2019-06-07T00:00:00"/>
    <d v="2019-06-09T00:00:00"/>
    <d v="2019-06-13T00:00:00"/>
    <n v="-4"/>
    <x v="1"/>
  </r>
  <r>
    <n v="390555"/>
    <s v="cccc vvvv gggg mmm "/>
    <x v="0"/>
    <x v="0"/>
    <s v="Agile"/>
    <s v="Requirements"/>
    <d v="2019-06-08T00:00:00"/>
    <d v="2019-06-10T00:00:00"/>
    <d v="2019-06-14T00:00:00"/>
    <n v="-4"/>
    <x v="1"/>
  </r>
  <r>
    <n v="390556"/>
    <s v="Xxx yyyy xx yyyy vvv"/>
    <x v="1"/>
    <x v="1"/>
    <s v="Iterative"/>
    <s v="Design"/>
    <d v="2019-06-09T00:00:00"/>
    <d v="2019-06-11T00:00:00"/>
    <d v="2019-06-15T00:00:00"/>
    <n v="-4"/>
    <x v="1"/>
  </r>
  <r>
    <n v="390557"/>
    <s v="cccc vvvv gggg mmm "/>
    <x v="2"/>
    <x v="2"/>
    <s v="Waterfall"/>
    <s v="XAT Testing"/>
    <d v="2019-06-10T00:00:00"/>
    <d v="2019-06-12T00:00:00"/>
    <d v="2019-06-16T00:00:00"/>
    <n v="-4"/>
    <x v="1"/>
  </r>
  <r>
    <n v="390558"/>
    <s v="Xxx yyyy xx yyyy vvv"/>
    <x v="3"/>
    <x v="0"/>
    <s v="Waterfall"/>
    <s v="Design"/>
    <d v="2019-06-11T00:00:00"/>
    <d v="2019-06-13T00:00:00"/>
    <d v="2019-06-17T00:00:00"/>
    <n v="-4"/>
    <x v="1"/>
  </r>
  <r>
    <n v="390559"/>
    <s v="cccc vvvv gggg mmm "/>
    <x v="4"/>
    <x v="1"/>
    <s v="Iterative"/>
    <s v="Requirements"/>
    <d v="2019-06-12T00:00:00"/>
    <d v="2019-06-14T00:00:00"/>
    <d v="2019-06-18T00:00:00"/>
    <n v="-4"/>
    <x v="1"/>
  </r>
  <r>
    <n v="390560"/>
    <s v="Xxx yyyy xx yyyy vvv"/>
    <x v="5"/>
    <x v="2"/>
    <s v="Agile"/>
    <s v="Implementation"/>
    <d v="2019-06-13T00:00:00"/>
    <d v="2019-06-25T00:00:00"/>
    <d v="2019-06-19T00:00:00"/>
    <n v="6"/>
    <x v="0"/>
  </r>
  <r>
    <n v="390561"/>
    <s v="cccc vvvv gggg mmm "/>
    <x v="6"/>
    <x v="0"/>
    <s v="Iterative"/>
    <s v="Requirements"/>
    <d v="2019-06-14T00:00:00"/>
    <d v="2019-06-26T00:00:00"/>
    <d v="2019-06-20T00:00:00"/>
    <n v="6"/>
    <x v="0"/>
  </r>
  <r>
    <n v="390562"/>
    <s v="Xxx yyyy xx yyyy vvv"/>
    <x v="7"/>
    <x v="1"/>
    <s v="Agile"/>
    <s v="XAT Testing"/>
    <d v="2019-06-15T00:00:00"/>
    <d v="2019-06-27T00:00:00"/>
    <d v="2019-06-21T00:00:00"/>
    <n v="6"/>
    <x v="0"/>
  </r>
  <r>
    <n v="390563"/>
    <s v="cccc vvvv gggg mmm "/>
    <x v="8"/>
    <x v="2"/>
    <s v="Waterfall"/>
    <s v="Implementation"/>
    <d v="2019-06-16T00:00:00"/>
    <d v="2019-06-28T00:00:00"/>
    <d v="2019-06-22T00:00:00"/>
    <n v="6"/>
    <x v="0"/>
  </r>
  <r>
    <n v="390564"/>
    <s v="Xxx yyyy xx yyyy vvv"/>
    <x v="9"/>
    <x v="0"/>
    <s v="Agile"/>
    <s v="XAT Testing"/>
    <d v="2019-06-17T00:00:00"/>
    <d v="2019-06-29T00:00:00"/>
    <d v="2019-06-23T00:00:00"/>
    <n v="6"/>
    <x v="0"/>
  </r>
  <r>
    <n v="390565"/>
    <s v="cccc vvvv gggg mmm "/>
    <x v="10"/>
    <x v="1"/>
    <s v="Iterative"/>
    <s v="Initiation"/>
    <d v="2019-06-18T00:00:00"/>
    <d v="2019-06-30T00:00:00"/>
    <d v="2019-06-24T00:00:00"/>
    <n v="6"/>
    <x v="0"/>
  </r>
  <r>
    <n v="390566"/>
    <s v="Xxx yyyy xx yyyy vvv"/>
    <x v="11"/>
    <x v="2"/>
    <s v="Waterfall"/>
    <s v="XAT Testing"/>
    <d v="2019-06-19T00:00:00"/>
    <d v="2019-07-01T00:00:00"/>
    <d v="2019-06-25T00:00:00"/>
    <n v="6"/>
    <x v="0"/>
  </r>
  <r>
    <n v="390567"/>
    <s v="cccc vvvv gggg mmm "/>
    <x v="12"/>
    <x v="0"/>
    <s v="Waterfall"/>
    <s v="Initiation"/>
    <d v="2019-06-20T00:00:00"/>
    <d v="2019-07-02T00:00:00"/>
    <d v="2019-06-26T00:00:00"/>
    <n v="6"/>
    <x v="0"/>
  </r>
  <r>
    <n v="390568"/>
    <s v="Xxx yyyy xx yyyy vvv"/>
    <x v="13"/>
    <x v="1"/>
    <s v="Iterative"/>
    <s v="Requirements"/>
    <d v="2019-06-21T00:00:00"/>
    <d v="2019-07-03T00:00:00"/>
    <d v="2019-06-27T00:00:00"/>
    <n v="6"/>
    <x v="0"/>
  </r>
  <r>
    <n v="390569"/>
    <s v="cccc vvvv gggg mmm "/>
    <x v="14"/>
    <x v="2"/>
    <s v="Agile"/>
    <s v="Design"/>
    <d v="2019-06-22T00:00:00"/>
    <d v="2019-07-04T00:00:00"/>
    <d v="2019-06-28T00:00:00"/>
    <n v="6"/>
    <x v="0"/>
  </r>
  <r>
    <n v="390570"/>
    <s v="Xxx yyyy xx yyyy vvv"/>
    <x v="5"/>
    <x v="2"/>
    <s v="Iterative"/>
    <s v="Implementation"/>
    <d v="2019-06-23T00:00:00"/>
    <d v="2019-07-05T00:00:00"/>
    <d v="2019-06-29T00:00:00"/>
    <n v="6"/>
    <x v="0"/>
  </r>
  <r>
    <n v="390571"/>
    <s v="cccc vvvv gggg mmm "/>
    <x v="6"/>
    <x v="0"/>
    <s v="Agile"/>
    <s v="Design"/>
    <d v="2019-06-24T00:00:00"/>
    <d v="2019-07-06T00:00:00"/>
    <d v="2019-06-30T00:00:00"/>
    <n v="6"/>
    <x v="0"/>
  </r>
  <r>
    <n v="390572"/>
    <s v="Xxx yyyy xx yyyy vvv"/>
    <x v="7"/>
    <x v="1"/>
    <s v="Waterfall"/>
    <s v="Requirements"/>
    <d v="2019-06-25T00:00:00"/>
    <d v="2019-07-07T00:00:00"/>
    <d v="2019-07-01T00:00:00"/>
    <n v="6"/>
    <x v="0"/>
  </r>
  <r>
    <n v="390573"/>
    <s v="cccc vvvv gggg mmm "/>
    <x v="8"/>
    <x v="2"/>
    <s v="Agile"/>
    <s v="Design"/>
    <d v="2019-06-26T00:00:00"/>
    <d v="2019-07-08T00:00:00"/>
    <d v="2019-07-02T00:00:00"/>
    <n v="6"/>
    <x v="0"/>
  </r>
  <r>
    <n v="390574"/>
    <s v="Xxx yyyy xx yyyy vvv"/>
    <x v="1"/>
    <x v="1"/>
    <s v="Iterative"/>
    <s v="XAT Testing"/>
    <d v="2019-06-27T00:00:00"/>
    <d v="2019-07-09T00:00:00"/>
    <d v="2019-07-03T00:00:00"/>
    <n v="6"/>
    <x v="0"/>
  </r>
  <r>
    <n v="390575"/>
    <s v="cccc vvvv gggg mmm "/>
    <x v="2"/>
    <x v="2"/>
    <s v="Waterfall"/>
    <s v="Requirements"/>
    <d v="2019-06-28T00:00:00"/>
    <d v="2019-07-10T00:00:00"/>
    <d v="2019-07-04T00:00:00"/>
    <n v="6"/>
    <x v="0"/>
  </r>
  <r>
    <n v="390576"/>
    <s v="Xxx yyyy xx yyyy vvv"/>
    <x v="3"/>
    <x v="0"/>
    <s v="Waterfall"/>
    <s v="Initiation"/>
    <d v="2019-06-29T00:00:00"/>
    <d v="2019-07-11T00:00:00"/>
    <d v="2019-07-05T00:00:00"/>
    <n v="6"/>
    <x v="0"/>
  </r>
  <r>
    <n v="390577"/>
    <s v="cccc vvvv gggg mmm "/>
    <x v="1"/>
    <x v="1"/>
    <s v="Iterative"/>
    <s v="UAT Testing"/>
    <d v="2019-06-30T00:00:00"/>
    <d v="2019-05-15T00:00:00"/>
    <d v="2019-07-06T00:00:00"/>
    <n v="-52"/>
    <x v="1"/>
  </r>
  <r>
    <n v="390578"/>
    <s v="Xxx yyyy xx yyyy vvv"/>
    <x v="2"/>
    <x v="2"/>
    <s v="Agile"/>
    <s v="Requirements"/>
    <d v="2019-07-01T00:00:00"/>
    <d v="2019-05-16T00:00:00"/>
    <d v="2019-07-07T00:00:00"/>
    <n v="-52"/>
    <x v="1"/>
  </r>
  <r>
    <n v="390579"/>
    <s v="cccc vvvv gggg mmm "/>
    <x v="0"/>
    <x v="0"/>
    <s v="Iterative"/>
    <s v="Requirements"/>
    <d v="2019-07-02T00:00:00"/>
    <d v="2019-05-17T00:00:00"/>
    <d v="2019-07-08T00:00:00"/>
    <n v="-52"/>
    <x v="1"/>
  </r>
  <r>
    <n v="390580"/>
    <s v="Xxx yyyy xx yyyy vvv"/>
    <x v="1"/>
    <x v="1"/>
    <s v="Agile"/>
    <s v="Design"/>
    <d v="2019-07-03T00:00:00"/>
    <d v="2019-05-18T00:00:00"/>
    <d v="2019-07-09T00:00:00"/>
    <n v="-52"/>
    <x v="1"/>
  </r>
  <r>
    <n v="390581"/>
    <s v="cccc vvvv gggg mmm "/>
    <x v="2"/>
    <x v="2"/>
    <s v="Waterfall"/>
    <s v="XAT Testing"/>
    <d v="2019-07-04T00:00:00"/>
    <d v="2019-05-19T00:00:00"/>
    <d v="2019-07-10T00:00:00"/>
    <n v="-52"/>
    <x v="1"/>
  </r>
  <r>
    <n v="390582"/>
    <s v="Xxx yyyy xx yyyy vvv"/>
    <x v="3"/>
    <x v="0"/>
    <s v="Agile"/>
    <s v="Design"/>
    <d v="2019-07-05T00:00:00"/>
    <d v="2019-05-20T00:00:00"/>
    <d v="2019-07-11T00:00:00"/>
    <n v="-52"/>
    <x v="1"/>
  </r>
  <r>
    <n v="390583"/>
    <s v="cccc vvvv gggg mmm "/>
    <x v="4"/>
    <x v="1"/>
    <s v="Iterative"/>
    <s v="Requirements"/>
    <d v="2019-07-06T00:00:00"/>
    <d v="2019-05-21T00:00:00"/>
    <d v="2019-05-15T00:00:00"/>
    <n v="6"/>
    <x v="0"/>
  </r>
  <r>
    <n v="390584"/>
    <s v="Xxx yyyy xx yyyy vvv"/>
    <x v="5"/>
    <x v="2"/>
    <s v="Waterfall"/>
    <s v="Implementation"/>
    <d v="2019-07-07T00:00:00"/>
    <d v="2019-05-22T00:00:00"/>
    <d v="2019-05-16T00:00:00"/>
    <n v="6"/>
    <x v="0"/>
  </r>
  <r>
    <n v="390585"/>
    <s v="cccc vvvv gggg mmm "/>
    <x v="6"/>
    <x v="0"/>
    <s v="Waterfall"/>
    <s v="Requirements"/>
    <d v="2019-07-08T00:00:00"/>
    <d v="2019-05-23T00:00:00"/>
    <d v="2019-05-17T00:00:00"/>
    <n v="6"/>
    <x v="0"/>
  </r>
  <r>
    <n v="390586"/>
    <s v="Xxx yyyy xx yyyy vvv"/>
    <x v="7"/>
    <x v="1"/>
    <s v="Iterative"/>
    <s v="XAT Testing"/>
    <d v="2019-07-09T00:00:00"/>
    <d v="2019-05-24T00:00:00"/>
    <d v="2019-05-18T00:00:00"/>
    <n v="6"/>
    <x v="0"/>
  </r>
  <r>
    <n v="390587"/>
    <s v="cccc vvvv gggg mmm "/>
    <x v="8"/>
    <x v="2"/>
    <s v="Agile"/>
    <s v="Implementation"/>
    <d v="2019-07-10T00:00:00"/>
    <d v="2019-05-25T00:00:00"/>
    <d v="2019-05-19T00:00:00"/>
    <n v="6"/>
    <x v="0"/>
  </r>
  <r>
    <n v="390588"/>
    <s v="Xxx yyyy xx yyyy vvv"/>
    <x v="9"/>
    <x v="0"/>
    <s v="Iterative"/>
    <s v="XAT Testing"/>
    <d v="2019-07-11T00:00:00"/>
    <d v="2019-05-26T00:00:00"/>
    <d v="2019-05-20T00:00:00"/>
    <n v="6"/>
    <x v="0"/>
  </r>
  <r>
    <n v="390589"/>
    <s v="cccc vvvv gggg mmm "/>
    <x v="10"/>
    <x v="1"/>
    <s v="Agile"/>
    <s v="Initiation"/>
    <d v="2019-05-15T00:00:00"/>
    <d v="2019-05-27T00:00:00"/>
    <d v="2019-05-21T00:00:00"/>
    <n v="6"/>
    <x v="0"/>
  </r>
  <r>
    <n v="390590"/>
    <s v="Xxx yyyy xx yyyy vvv"/>
    <x v="11"/>
    <x v="2"/>
    <s v="Waterfall"/>
    <s v="XAT Testing"/>
    <d v="2019-05-16T00:00:00"/>
    <d v="2019-07-04T00:00:00"/>
    <d v="2019-05-22T00:00:00"/>
    <n v="43"/>
    <x v="0"/>
  </r>
  <r>
    <n v="390591"/>
    <s v="cccc vvvv gggg mmm "/>
    <x v="12"/>
    <x v="0"/>
    <s v="Agile"/>
    <s v="Initiation"/>
    <d v="2019-05-17T00:00:00"/>
    <d v="2019-07-05T00:00:00"/>
    <d v="2019-05-23T00:00:00"/>
    <n v="43"/>
    <x v="0"/>
  </r>
  <r>
    <n v="390592"/>
    <s v="Xxx yyyy xx yyyy vvv"/>
    <x v="13"/>
    <x v="1"/>
    <s v="Iterative"/>
    <s v="Requirements"/>
    <d v="2019-05-18T00:00:00"/>
    <d v="2019-07-06T00:00:00"/>
    <d v="2019-05-24T00:00:00"/>
    <n v="43"/>
    <x v="0"/>
  </r>
  <r>
    <n v="390593"/>
    <s v="cccc vvvv gggg mmm "/>
    <x v="14"/>
    <x v="2"/>
    <s v="Waterfall"/>
    <s v="Design"/>
    <d v="2019-05-19T00:00:00"/>
    <d v="2019-07-07T00:00:00"/>
    <d v="2019-05-25T00:00:00"/>
    <n v="43"/>
    <x v="0"/>
  </r>
  <r>
    <n v="390594"/>
    <s v="Xxx yyyy xx yyyy vvv"/>
    <x v="5"/>
    <x v="2"/>
    <s v="Waterfall"/>
    <s v="Implementation"/>
    <d v="2019-05-20T00:00:00"/>
    <d v="2019-07-08T00:00:00"/>
    <d v="2019-05-26T00:00:00"/>
    <n v="43"/>
    <x v="0"/>
  </r>
  <r>
    <n v="390595"/>
    <s v="cccc vvvv gggg mmm "/>
    <x v="6"/>
    <x v="0"/>
    <s v="Iterative"/>
    <s v="Design"/>
    <d v="2019-05-21T00:00:00"/>
    <d v="2019-07-09T00:00:00"/>
    <d v="2019-05-27T00:00:00"/>
    <n v="43"/>
    <x v="0"/>
  </r>
  <r>
    <n v="390596"/>
    <s v="Xxx yyyy xx yyyy vvv"/>
    <x v="7"/>
    <x v="1"/>
    <s v="Agile"/>
    <s v="Requirements"/>
    <d v="2019-05-22T00:00:00"/>
    <d v="2019-07-10T00:00:00"/>
    <d v="2019-07-04T00:00:00"/>
    <n v="6"/>
    <x v="0"/>
  </r>
  <r>
    <n v="390597"/>
    <s v="cccc vvvv gggg mmm "/>
    <x v="8"/>
    <x v="2"/>
    <s v="Iterative"/>
    <s v="Design"/>
    <d v="2019-05-23T00:00:00"/>
    <d v="2019-07-11T00:00:00"/>
    <d v="2019-07-05T00:00:00"/>
    <n v="6"/>
    <x v="0"/>
  </r>
  <r>
    <n v="390598"/>
    <s v="Xxx yyyy xx yyyy vvv"/>
    <x v="1"/>
    <x v="1"/>
    <s v="Agile"/>
    <s v="XAT Testing"/>
    <d v="2019-05-24T00:00:00"/>
    <d v="2019-05-23T00:00:00"/>
    <d v="2019-07-06T00:00:00"/>
    <n v="-44"/>
    <x v="1"/>
  </r>
  <r>
    <n v="390599"/>
    <s v="cccc vvvv gggg mmm "/>
    <x v="2"/>
    <x v="2"/>
    <s v="Waterfall"/>
    <s v="Requirements"/>
    <d v="2019-05-25T00:00:00"/>
    <d v="2019-05-24T00:00:00"/>
    <d v="2019-07-07T00:00:00"/>
    <n v="-44"/>
    <x v="1"/>
  </r>
  <r>
    <n v="390600"/>
    <s v="Xxx yyyy xx yyyy vvv"/>
    <x v="3"/>
    <x v="0"/>
    <s v="Agile"/>
    <s v="Initiation"/>
    <d v="2019-05-26T00:00:00"/>
    <d v="2019-05-25T00:00:00"/>
    <d v="2019-07-08T00:00:00"/>
    <n v="-44"/>
    <x v="1"/>
  </r>
  <r>
    <n v="390601"/>
    <s v="cccc vvvv gggg mmm "/>
    <x v="1"/>
    <x v="1"/>
    <s v="Iterative"/>
    <s v="UAT Testing"/>
    <d v="2019-05-27T00:00:00"/>
    <d v="2019-05-26T00:00:00"/>
    <d v="2019-07-09T00:00:00"/>
    <n v="-44"/>
    <x v="1"/>
  </r>
  <r>
    <n v="390602"/>
    <s v="Xxx yyyy xx yyyy vvv"/>
    <x v="2"/>
    <x v="2"/>
    <s v="Waterfall"/>
    <s v="Requirements"/>
    <d v="2019-07-04T00:00:00"/>
    <d v="2019-05-27T00:00:00"/>
    <d v="2019-07-07T00:00:00"/>
    <n v="-41"/>
    <x v="1"/>
  </r>
  <r>
    <n v="390603"/>
    <s v="cccc vvvv gggg mmm "/>
    <x v="0"/>
    <x v="0"/>
    <s v="Waterfall"/>
    <s v="Requirements"/>
    <d v="2019-07-05T00:00:00"/>
    <d v="2019-06-07T00:00:00"/>
    <d v="2019-07-08T00:00:00"/>
    <n v="-31"/>
    <x v="1"/>
  </r>
  <r>
    <n v="390604"/>
    <s v="Xxx yyyy xx yyyy vvv"/>
    <x v="1"/>
    <x v="1"/>
    <s v="Iterative"/>
    <s v="Design"/>
    <d v="2019-07-06T00:00:00"/>
    <d v="2019-06-08T00:00:00"/>
    <d v="2019-07-09T00:00:00"/>
    <n v="-31"/>
    <x v="1"/>
  </r>
  <r>
    <n v="390605"/>
    <s v="cccc vvvv gggg mmm "/>
    <x v="2"/>
    <x v="2"/>
    <s v="Agile"/>
    <s v="XAT Testing"/>
    <d v="2019-07-07T00:00:00"/>
    <d v="2019-06-09T00:00:00"/>
    <d v="2019-07-10T00:00:00"/>
    <n v="-31"/>
    <x v="1"/>
  </r>
  <r>
    <n v="390606"/>
    <s v="Xxx yyyy xx yyyy vvv"/>
    <x v="3"/>
    <x v="0"/>
    <s v="Iterative"/>
    <s v="Design"/>
    <d v="2019-07-08T00:00:00"/>
    <d v="2019-06-10T00:00:00"/>
    <d v="2019-07-11T00:00:00"/>
    <n v="-31"/>
    <x v="1"/>
  </r>
  <r>
    <n v="390607"/>
    <s v="cccc vvvv gggg mmm "/>
    <x v="4"/>
    <x v="1"/>
    <s v="Agile"/>
    <s v="Requirements"/>
    <d v="2019-07-09T00:00:00"/>
    <d v="2019-06-11T00:00:00"/>
    <d v="2019-05-23T00:00:00"/>
    <n v="19"/>
    <x v="0"/>
  </r>
  <r>
    <n v="390608"/>
    <s v="Xxx yyyy xx yyyy vvv"/>
    <x v="5"/>
    <x v="2"/>
    <s v="Waterfall"/>
    <s v="Implementation"/>
    <d v="2019-07-10T00:00:00"/>
    <d v="2019-06-12T00:00:00"/>
    <d v="2019-05-24T00:00:00"/>
    <n v="19"/>
    <x v="0"/>
  </r>
  <r>
    <n v="390609"/>
    <s v="cccc vvvv gggg mmm "/>
    <x v="6"/>
    <x v="0"/>
    <s v="Agile"/>
    <s v="Requirements"/>
    <d v="2019-07-11T00:00:00"/>
    <d v="2019-06-13T00:00:00"/>
    <d v="2019-05-25T00:00:00"/>
    <n v="19"/>
    <x v="0"/>
  </r>
  <r>
    <n v="390610"/>
    <s v="Xxx yyyy xx yyyy vvv"/>
    <x v="7"/>
    <x v="1"/>
    <s v="Iterative"/>
    <s v="XAT Testing"/>
    <d v="2019-05-23T00:00:00"/>
    <d v="2019-07-04T00:00:00"/>
    <d v="2019-05-26T00:00:00"/>
    <n v="39"/>
    <x v="0"/>
  </r>
  <r>
    <n v="390611"/>
    <s v="cccc vvvv gggg mmm "/>
    <x v="8"/>
    <x v="2"/>
    <s v="Waterfall"/>
    <s v="Implementation"/>
    <d v="2019-05-24T00:00:00"/>
    <d v="2019-07-05T00:00:00"/>
    <d v="2019-05-27T00:00:00"/>
    <n v="39"/>
    <x v="0"/>
  </r>
  <r>
    <n v="390612"/>
    <s v="Xxx yyyy xx yyyy vvv"/>
    <x v="9"/>
    <x v="0"/>
    <s v="Waterfall"/>
    <s v="XAT Testing"/>
    <d v="2019-05-25T00:00:00"/>
    <d v="2019-07-06T00:00:00"/>
    <d v="2019-06-07T00:00:00"/>
    <n v="29"/>
    <x v="0"/>
  </r>
  <r>
    <n v="390613"/>
    <s v="cccc vvvv gggg mmm "/>
    <x v="10"/>
    <x v="1"/>
    <s v="Iterative"/>
    <s v="Initiation"/>
    <d v="2019-05-26T00:00:00"/>
    <d v="2019-07-07T00:00:00"/>
    <d v="2019-06-08T00:00:00"/>
    <n v="29"/>
    <x v="0"/>
  </r>
  <r>
    <n v="390614"/>
    <s v="Xxx yyyy xx yyyy vvv"/>
    <x v="11"/>
    <x v="2"/>
    <s v="Agile"/>
    <s v="XAT Testing"/>
    <d v="2019-05-27T00:00:00"/>
    <d v="2019-07-08T00:00:00"/>
    <d v="2019-06-09T00:00:00"/>
    <n v="29"/>
    <x v="0"/>
  </r>
  <r>
    <n v="390615"/>
    <s v="cccc vvvv gggg mmm "/>
    <x v="12"/>
    <x v="0"/>
    <s v="Iterative"/>
    <s v="Initiation"/>
    <d v="2019-06-07T00:00:00"/>
    <d v="2019-07-09T00:00:00"/>
    <d v="2019-06-10T00:00:00"/>
    <n v="29"/>
    <x v="0"/>
  </r>
  <r>
    <n v="390616"/>
    <s v="Xxx yyyy xx yyyy vvv"/>
    <x v="13"/>
    <x v="1"/>
    <s v="Agile"/>
    <s v="Requirements"/>
    <d v="2019-06-08T00:00:00"/>
    <d v="2019-06-12T00:00:00"/>
    <d v="2019-06-11T00:00:00"/>
    <n v="1"/>
    <x v="0"/>
  </r>
  <r>
    <n v="390617"/>
    <s v="cccc vvvv gggg mmm "/>
    <x v="14"/>
    <x v="2"/>
    <s v="Waterfall"/>
    <s v="Design"/>
    <d v="2019-06-09T00:00:00"/>
    <d v="2019-06-13T00:00:00"/>
    <d v="2019-06-12T00:00:00"/>
    <n v="1"/>
    <x v="0"/>
  </r>
  <r>
    <n v="390618"/>
    <s v="Xxx yyyy xx yyyy vvv"/>
    <x v="5"/>
    <x v="2"/>
    <s v="Agile"/>
    <s v="Implementation"/>
    <d v="2019-06-10T00:00:00"/>
    <d v="2019-06-12T00:00:00"/>
    <d v="2019-06-13T00:00:00"/>
    <n v="-1"/>
    <x v="1"/>
  </r>
  <r>
    <n v="390619"/>
    <s v="cccc vvvv gggg mmm "/>
    <x v="6"/>
    <x v="0"/>
    <s v="Iterative"/>
    <s v="Design"/>
    <d v="2019-06-11T00:00:00"/>
    <d v="2019-06-13T00:00:00"/>
    <d v="2019-07-04T00:00:00"/>
    <n v="-21"/>
    <x v="1"/>
  </r>
  <r>
    <n v="390620"/>
    <s v="Xxx yyyy xx yyyy vvv"/>
    <x v="7"/>
    <x v="1"/>
    <s v="Waterfall"/>
    <s v="Requirements"/>
    <d v="2019-06-12T00:00:00"/>
    <d v="2019-07-04T00:00:00"/>
    <d v="2019-07-05T00:00:00"/>
    <n v="-1"/>
    <x v="1"/>
  </r>
  <r>
    <n v="390621"/>
    <s v="cccc vvvv gggg mmm "/>
    <x v="8"/>
    <x v="2"/>
    <s v="Waterfall"/>
    <s v="Design"/>
    <d v="2019-06-13T00:00:00"/>
    <d v="2019-07-05T00:00:00"/>
    <d v="2019-07-06T00:00:00"/>
    <n v="-1"/>
    <x v="1"/>
  </r>
  <r>
    <n v="390622"/>
    <s v="Xxx yyyy xx yyyy vvv"/>
    <x v="1"/>
    <x v="1"/>
    <s v="Iterative"/>
    <s v="XAT Testing"/>
    <d v="2019-07-04T00:00:00"/>
    <d v="2019-07-06T00:00:00"/>
    <d v="2019-07-07T00:00:00"/>
    <n v="-1"/>
    <x v="1"/>
  </r>
  <r>
    <n v="390623"/>
    <s v="cccc vvvv gggg mmm "/>
    <x v="2"/>
    <x v="2"/>
    <s v="Agile"/>
    <s v="Requirements"/>
    <d v="2019-07-05T00:00:00"/>
    <d v="2019-07-07T00:00:00"/>
    <d v="2019-07-08T00:00:00"/>
    <n v="-1"/>
    <x v="1"/>
  </r>
  <r>
    <n v="390624"/>
    <s v="Xxx yyyy xx yyyy vvv"/>
    <x v="3"/>
    <x v="0"/>
    <s v="Iterative"/>
    <s v="Initiation"/>
    <d v="2019-07-06T00:00:00"/>
    <d v="2019-07-08T00:00:00"/>
    <d v="2019-07-09T00:00:00"/>
    <n v="-1"/>
    <x v="1"/>
  </r>
  <r>
    <n v="390625"/>
    <s v="cccc vvvv gggg mmm "/>
    <x v="1"/>
    <x v="1"/>
    <s v="Agile"/>
    <s v="UAT Testing"/>
    <d v="2019-07-07T00:00:00"/>
    <d v="2019-07-06T00:00:00"/>
    <d v="2019-06-12T00:00:00"/>
    <n v="24"/>
    <x v="0"/>
  </r>
  <r>
    <n v="390626"/>
    <s v="Xxx yyyy xx yyyy vvv"/>
    <x v="2"/>
    <x v="2"/>
    <s v="Waterfall"/>
    <s v="Requirements"/>
    <d v="2019-07-08T00:00:00"/>
    <d v="2019-07-07T00:00:00"/>
    <d v="2019-06-13T00:00:00"/>
    <n v="24"/>
    <x v="0"/>
  </r>
  <r>
    <n v="390627"/>
    <s v="cccc vvvv gggg mmm "/>
    <x v="0"/>
    <x v="0"/>
    <s v="Agile"/>
    <s v="XAT Testing"/>
    <d v="2019-07-09T00:00:00"/>
    <d v="2019-07-08T00:00:00"/>
    <d v="2019-05-15T00:00:00"/>
    <n v="54"/>
    <x v="0"/>
  </r>
  <r>
    <n v="390628"/>
    <s v="cccc vvvv gggg mmm "/>
    <x v="1"/>
    <x v="1"/>
    <s v="Iterative"/>
    <s v="Requirements"/>
    <d v="2019-06-12T00:00:00"/>
    <d v="2019-07-09T00:00:00"/>
    <d v="2019-05-16T00:00:00"/>
    <n v="54"/>
    <x v="0"/>
  </r>
  <r>
    <n v="390629"/>
    <s v="cccc vvvv gggg mmm "/>
    <x v="2"/>
    <x v="2"/>
    <s v="Waterfall"/>
    <s v="Initiation"/>
    <d v="2019-06-13T00:00:00"/>
    <d v="2019-06-12T00:00:00"/>
    <d v="2019-05-17T00:00:00"/>
    <n v="26"/>
    <x v="0"/>
  </r>
</pivotCacheRecords>
</file>

<file path=xl/pivotCache/pivotCacheRecords2.xml><?xml version="1.0" encoding="utf-8"?>
<pivotCacheRecords xmlns="http://schemas.openxmlformats.org/spreadsheetml/2006/main" xmlns:r="http://schemas.openxmlformats.org/officeDocument/2006/relationships" count="99">
  <r>
    <n v="390531"/>
    <s v="Xxx yyyy xx yyyy vvv"/>
    <x v="0"/>
    <s v="Barun"/>
    <s v="Waterfall"/>
    <x v="0"/>
    <x v="0"/>
    <d v="2019-05-15T00:00:00"/>
    <d v="2019-07-04T00:00:00"/>
    <d v="2019-05-21T00:00:00"/>
    <s v="Missed Phase End Date"/>
  </r>
  <r>
    <n v="390532"/>
    <s v="cccc vvvv gggg mmm "/>
    <x v="1"/>
    <s v="Jim"/>
    <s v="Iterative"/>
    <x v="1"/>
    <x v="1"/>
    <d v="2019-05-16T00:00:00"/>
    <d v="2019-07-05T00:00:00"/>
    <d v="2019-05-22T00:00:00"/>
    <s v="OK"/>
  </r>
  <r>
    <n v="390533"/>
    <s v="Xxx yyyy xx yyyy vvv"/>
    <x v="2"/>
    <s v="Steve"/>
    <s v="Agile"/>
    <x v="2"/>
    <x v="0"/>
    <d v="2019-05-17T00:00:00"/>
    <d v="2019-07-06T00:00:00"/>
    <d v="2019-05-23T00:00:00"/>
    <s v="Missed Phase End Date"/>
  </r>
  <r>
    <n v="390534"/>
    <s v="cccc vvvv gggg mmm "/>
    <x v="3"/>
    <s v="Barun"/>
    <s v="Iterative"/>
    <x v="3"/>
    <x v="0"/>
    <d v="2019-05-18T00:00:00"/>
    <d v="2019-07-07T00:00:00"/>
    <d v="2019-05-24T00:00:00"/>
    <s v="OK"/>
  </r>
  <r>
    <n v="390535"/>
    <s v="Xxx yyyy xx yyyy vvv"/>
    <x v="4"/>
    <s v="Jim"/>
    <s v="Agile"/>
    <x v="0"/>
    <x v="1"/>
    <d v="2019-05-19T00:00:00"/>
    <d v="2019-07-08T00:00:00"/>
    <d v="2019-05-25T00:00:00"/>
    <s v="OK"/>
  </r>
  <r>
    <n v="390536"/>
    <s v="cccc vvvv gggg mmm "/>
    <x v="5"/>
    <s v="Steve"/>
    <s v="Waterfall"/>
    <x v="4"/>
    <x v="0"/>
    <d v="2019-05-20T00:00:00"/>
    <d v="2019-07-09T00:00:00"/>
    <d v="2019-05-26T00:00:00"/>
    <s v="OK"/>
  </r>
  <r>
    <n v="390537"/>
    <s v="Xxx yyyy xx yyyy vvv"/>
    <x v="6"/>
    <s v="Barun"/>
    <s v="Agile"/>
    <x v="0"/>
    <x v="0"/>
    <d v="2019-05-21T00:00:00"/>
    <d v="2019-07-10T00:00:00"/>
    <d v="2019-05-27T00:00:00"/>
    <s v="Missed Phase End Date"/>
  </r>
  <r>
    <n v="390538"/>
    <s v="cccc vvvv gggg mmm "/>
    <x v="7"/>
    <s v="Jim"/>
    <s v="Iterative"/>
    <x v="2"/>
    <x v="0"/>
    <d v="2019-05-22T00:00:00"/>
    <d v="2019-07-11T00:00:00"/>
    <d v="2019-05-28T00:00:00"/>
    <s v="Missed Phase End Date"/>
  </r>
  <r>
    <n v="390539"/>
    <s v="Xxx yyyy xx yyyy vvv"/>
    <x v="8"/>
    <s v="Steve"/>
    <s v="Waterfall"/>
    <x v="4"/>
    <x v="0"/>
    <d v="2019-05-23T00:00:00"/>
    <d v="2019-05-25T00:00:00"/>
    <d v="2019-05-29T00:00:00"/>
    <s v="OK"/>
  </r>
  <r>
    <n v="390540"/>
    <s v="cccc vvvv gggg mmm "/>
    <x v="9"/>
    <s v="Barun"/>
    <s v="Waterfall"/>
    <x v="2"/>
    <x v="0"/>
    <d v="2019-05-24T00:00:00"/>
    <d v="2019-05-26T00:00:00"/>
    <d v="2019-05-30T00:00:00"/>
    <s v="Missed Phase End Date"/>
  </r>
  <r>
    <n v="390541"/>
    <s v="Xxx yyyy xx yyyy vvv"/>
    <x v="10"/>
    <s v="Jim"/>
    <s v="Iterative"/>
    <x v="5"/>
    <x v="0"/>
    <d v="2019-05-25T00:00:00"/>
    <d v="2019-05-27T00:00:00"/>
    <d v="2019-05-31T00:00:00"/>
    <s v="OK"/>
  </r>
  <r>
    <n v="390542"/>
    <s v="cccc vvvv gggg mmm "/>
    <x v="11"/>
    <s v="Steve"/>
    <s v="Agile"/>
    <x v="2"/>
    <x v="0"/>
    <d v="2019-05-26T00:00:00"/>
    <d v="2019-05-28T00:00:00"/>
    <d v="2019-06-01T00:00:00"/>
    <s v="Missed Phase End Date"/>
  </r>
  <r>
    <n v="390543"/>
    <s v="Xxx yyyy xx yyyy vvv"/>
    <x v="12"/>
    <s v="Barun"/>
    <s v="Iterative"/>
    <x v="5"/>
    <x v="0"/>
    <d v="2019-05-27T00:00:00"/>
    <d v="2019-05-29T00:00:00"/>
    <d v="2019-06-02T00:00:00"/>
    <s v="OK"/>
  </r>
  <r>
    <n v="390544"/>
    <s v="cccc vvvv gggg mmm "/>
    <x v="13"/>
    <s v="Jim"/>
    <s v="Agile"/>
    <x v="0"/>
    <x v="1"/>
    <d v="2019-05-28T00:00:00"/>
    <d v="2019-05-30T00:00:00"/>
    <d v="2019-06-03T00:00:00"/>
    <s v="OK"/>
  </r>
  <r>
    <n v="390545"/>
    <s v="Xxx yyyy xx yyyy vvv"/>
    <x v="14"/>
    <s v="Steve"/>
    <s v="Waterfall"/>
    <x v="1"/>
    <x v="0"/>
    <d v="2019-05-29T00:00:00"/>
    <d v="2019-05-31T00:00:00"/>
    <d v="2019-06-04T00:00:00"/>
    <s v="Missed Phase End Date"/>
  </r>
  <r>
    <n v="390546"/>
    <s v="cccc vvvv gggg mmm "/>
    <x v="5"/>
    <s v="Steve"/>
    <s v="Agile"/>
    <x v="4"/>
    <x v="0"/>
    <d v="2019-05-30T00:00:00"/>
    <d v="2019-06-01T00:00:00"/>
    <d v="2019-06-05T00:00:00"/>
    <s v="OK"/>
  </r>
  <r>
    <n v="390547"/>
    <s v="Xxx yyyy xx yyyy vvv"/>
    <x v="6"/>
    <s v="Barun"/>
    <s v="Iterative"/>
    <x v="1"/>
    <x v="0"/>
    <d v="2019-05-31T00:00:00"/>
    <d v="2019-06-02T00:00:00"/>
    <d v="2019-06-06T00:00:00"/>
    <s v="Missed Phase End Date"/>
  </r>
  <r>
    <n v="390548"/>
    <s v="cccc vvvv gggg mmm "/>
    <x v="7"/>
    <s v="Jim"/>
    <s v="Waterfall"/>
    <x v="0"/>
    <x v="0"/>
    <d v="2019-06-01T00:00:00"/>
    <d v="2019-06-03T00:00:00"/>
    <d v="2019-06-07T00:00:00"/>
    <s v="Missed Phase End Date"/>
  </r>
  <r>
    <n v="390549"/>
    <s v="Xxx yyyy xx yyyy vvv"/>
    <x v="8"/>
    <s v="Steve"/>
    <s v="Waterfall"/>
    <x v="1"/>
    <x v="0"/>
    <d v="2019-06-02T00:00:00"/>
    <d v="2019-06-04T00:00:00"/>
    <d v="2019-06-08T00:00:00"/>
    <s v="Missed Phase End Date"/>
  </r>
  <r>
    <n v="390550"/>
    <s v="cccc vvvv gggg mmm "/>
    <x v="1"/>
    <s v="Jim"/>
    <s v="Iterative"/>
    <x v="2"/>
    <x v="0"/>
    <d v="2019-06-03T00:00:00"/>
    <d v="2019-06-05T00:00:00"/>
    <d v="2019-06-09T00:00:00"/>
    <s v="Missed Phase End Date"/>
  </r>
  <r>
    <n v="390551"/>
    <s v="Xxx yyyy xx yyyy vvv"/>
    <x v="2"/>
    <s v="Steve"/>
    <s v="Agile"/>
    <x v="0"/>
    <x v="0"/>
    <d v="2019-06-04T00:00:00"/>
    <d v="2019-06-06T00:00:00"/>
    <d v="2019-06-10T00:00:00"/>
    <s v="Missed Phase End Date"/>
  </r>
  <r>
    <n v="390552"/>
    <s v="cccc vvvv gggg mmm "/>
    <x v="3"/>
    <s v="Barun"/>
    <s v="Iterative"/>
    <x v="5"/>
    <x v="1"/>
    <d v="2019-06-05T00:00:00"/>
    <d v="2019-06-07T00:00:00"/>
    <d v="2019-06-11T00:00:00"/>
    <s v="OK"/>
  </r>
  <r>
    <n v="390553"/>
    <s v="Xxx yyyy xx yyyy vvv"/>
    <x v="1"/>
    <s v="Jim"/>
    <s v="Agile"/>
    <x v="6"/>
    <x v="0"/>
    <d v="2019-06-06T00:00:00"/>
    <d v="2019-06-08T00:00:00"/>
    <d v="2019-06-12T00:00:00"/>
    <s v="Missed Phase End Date"/>
  </r>
  <r>
    <n v="390554"/>
    <s v="cccc vvvv gggg mmm "/>
    <x v="2"/>
    <s v="Steve"/>
    <s v="Waterfall"/>
    <x v="0"/>
    <x v="0"/>
    <d v="2019-06-07T00:00:00"/>
    <d v="2019-06-09T00:00:00"/>
    <d v="2019-06-13T00:00:00"/>
    <s v="Missed Phase End Date"/>
  </r>
  <r>
    <n v="390555"/>
    <s v="cccc vvvv gggg mmm "/>
    <x v="0"/>
    <s v="Barun"/>
    <s v="Agile"/>
    <x v="0"/>
    <x v="0"/>
    <d v="2019-06-08T00:00:00"/>
    <d v="2019-06-10T00:00:00"/>
    <d v="2019-06-14T00:00:00"/>
    <s v="Missed Phase End Date"/>
  </r>
  <r>
    <n v="390556"/>
    <s v="Xxx yyyy xx yyyy vvv"/>
    <x v="1"/>
    <s v="Jim"/>
    <s v="Iterative"/>
    <x v="1"/>
    <x v="0"/>
    <d v="2019-06-09T00:00:00"/>
    <d v="2019-06-11T00:00:00"/>
    <d v="2019-06-15T00:00:00"/>
    <s v="Missed Phase End Date"/>
  </r>
  <r>
    <n v="390557"/>
    <s v="cccc vvvv gggg mmm "/>
    <x v="2"/>
    <s v="Steve"/>
    <s v="Waterfall"/>
    <x v="2"/>
    <x v="0"/>
    <d v="2019-06-10T00:00:00"/>
    <d v="2019-06-12T00:00:00"/>
    <d v="2019-06-16T00:00:00"/>
    <s v="Missed Phase End Date"/>
  </r>
  <r>
    <n v="390558"/>
    <s v="Xxx yyyy xx yyyy vvv"/>
    <x v="3"/>
    <s v="Barun"/>
    <s v="Waterfall"/>
    <x v="1"/>
    <x v="0"/>
    <d v="2019-06-11T00:00:00"/>
    <d v="2019-06-13T00:00:00"/>
    <d v="2019-06-17T00:00:00"/>
    <s v="Missed Phase End Date"/>
  </r>
  <r>
    <n v="390559"/>
    <s v="cccc vvvv gggg mmm "/>
    <x v="4"/>
    <s v="Jim"/>
    <s v="Iterative"/>
    <x v="0"/>
    <x v="1"/>
    <d v="2019-06-12T00:00:00"/>
    <d v="2019-06-14T00:00:00"/>
    <d v="2019-06-18T00:00:00"/>
    <s v="OK"/>
  </r>
  <r>
    <n v="390560"/>
    <s v="Xxx yyyy xx yyyy vvv"/>
    <x v="5"/>
    <s v="Steve"/>
    <s v="Agile"/>
    <x v="4"/>
    <x v="0"/>
    <d v="2019-06-13T00:00:00"/>
    <d v="2019-06-25T00:00:00"/>
    <d v="2019-06-19T00:00:00"/>
    <s v="OK"/>
  </r>
  <r>
    <n v="390561"/>
    <s v="cccc vvvv gggg mmm "/>
    <x v="6"/>
    <s v="Barun"/>
    <s v="Iterative"/>
    <x v="0"/>
    <x v="0"/>
    <d v="2019-06-14T00:00:00"/>
    <d v="2019-06-26T00:00:00"/>
    <d v="2019-06-20T00:00:00"/>
    <s v="Missed Phase End Date"/>
  </r>
  <r>
    <n v="390562"/>
    <s v="Xxx yyyy xx yyyy vvv"/>
    <x v="7"/>
    <s v="Jim"/>
    <s v="Agile"/>
    <x v="2"/>
    <x v="0"/>
    <d v="2019-06-15T00:00:00"/>
    <d v="2019-06-27T00:00:00"/>
    <d v="2019-06-21T00:00:00"/>
    <s v="Missed Phase End Date"/>
  </r>
  <r>
    <n v="390563"/>
    <s v="cccc vvvv gggg mmm "/>
    <x v="8"/>
    <s v="Steve"/>
    <s v="Waterfall"/>
    <x v="4"/>
    <x v="0"/>
    <d v="2019-06-16T00:00:00"/>
    <d v="2019-06-28T00:00:00"/>
    <d v="2019-06-22T00:00:00"/>
    <s v="OK"/>
  </r>
  <r>
    <n v="390564"/>
    <s v="Xxx yyyy xx yyyy vvv"/>
    <x v="9"/>
    <s v="Barun"/>
    <s v="Agile"/>
    <x v="2"/>
    <x v="0"/>
    <d v="2019-06-17T00:00:00"/>
    <d v="2019-06-29T00:00:00"/>
    <d v="2019-06-23T00:00:00"/>
    <s v="Missed Phase End Date"/>
  </r>
  <r>
    <n v="390565"/>
    <s v="cccc vvvv gggg mmm "/>
    <x v="10"/>
    <s v="Jim"/>
    <s v="Iterative"/>
    <x v="5"/>
    <x v="1"/>
    <d v="2019-06-18T00:00:00"/>
    <d v="2019-06-30T00:00:00"/>
    <d v="2019-06-24T00:00:00"/>
    <s v="OK"/>
  </r>
  <r>
    <n v="390566"/>
    <s v="Xxx yyyy xx yyyy vvv"/>
    <x v="11"/>
    <s v="Steve"/>
    <s v="Waterfall"/>
    <x v="2"/>
    <x v="0"/>
    <d v="2019-06-19T00:00:00"/>
    <d v="2019-07-01T00:00:00"/>
    <d v="2019-06-25T00:00:00"/>
    <s v="Missed Phase End Date"/>
  </r>
  <r>
    <n v="390567"/>
    <s v="cccc vvvv gggg mmm "/>
    <x v="12"/>
    <s v="Barun"/>
    <s v="Waterfall"/>
    <x v="5"/>
    <x v="0"/>
    <d v="2019-06-20T00:00:00"/>
    <d v="2019-07-02T00:00:00"/>
    <d v="2019-06-26T00:00:00"/>
    <s v="OK"/>
  </r>
  <r>
    <n v="390568"/>
    <s v="Xxx yyyy xx yyyy vvv"/>
    <x v="13"/>
    <s v="Jim"/>
    <s v="Iterative"/>
    <x v="0"/>
    <x v="0"/>
    <d v="2019-06-21T00:00:00"/>
    <d v="2019-07-03T00:00:00"/>
    <d v="2019-06-27T00:00:00"/>
    <s v="Missed Phase End Date"/>
  </r>
  <r>
    <n v="390569"/>
    <s v="cccc vvvv gggg mmm "/>
    <x v="14"/>
    <s v="Steve"/>
    <s v="Agile"/>
    <x v="1"/>
    <x v="1"/>
    <d v="2019-06-22T00:00:00"/>
    <d v="2019-07-04T00:00:00"/>
    <d v="2019-06-28T00:00:00"/>
    <s v="OK"/>
  </r>
  <r>
    <n v="390570"/>
    <s v="Xxx yyyy xx yyyy vvv"/>
    <x v="5"/>
    <s v="Steve"/>
    <s v="Iterative"/>
    <x v="4"/>
    <x v="0"/>
    <d v="2019-06-23T00:00:00"/>
    <d v="2019-07-05T00:00:00"/>
    <d v="2019-06-29T00:00:00"/>
    <s v="OK"/>
  </r>
  <r>
    <n v="390571"/>
    <s v="cccc vvvv gggg mmm "/>
    <x v="6"/>
    <s v="Barun"/>
    <s v="Agile"/>
    <x v="1"/>
    <x v="0"/>
    <d v="2019-06-24T00:00:00"/>
    <d v="2019-07-06T00:00:00"/>
    <d v="2019-06-30T00:00:00"/>
    <s v="Missed Phase End Date"/>
  </r>
  <r>
    <n v="390572"/>
    <s v="Xxx yyyy xx yyyy vvv"/>
    <x v="7"/>
    <s v="Jim"/>
    <s v="Waterfall"/>
    <x v="0"/>
    <x v="0"/>
    <d v="2019-06-25T00:00:00"/>
    <d v="2019-07-07T00:00:00"/>
    <d v="2019-07-01T00:00:00"/>
    <s v="Missed Phase End Date"/>
  </r>
  <r>
    <n v="390573"/>
    <s v="cccc vvvv gggg mmm "/>
    <x v="8"/>
    <s v="Steve"/>
    <s v="Agile"/>
    <x v="1"/>
    <x v="0"/>
    <d v="2019-06-26T00:00:00"/>
    <d v="2019-07-08T00:00:00"/>
    <d v="2019-07-02T00:00:00"/>
    <s v="Missed Phase End Date"/>
  </r>
  <r>
    <n v="390574"/>
    <s v="Xxx yyyy xx yyyy vvv"/>
    <x v="1"/>
    <s v="Jim"/>
    <s v="Iterative"/>
    <x v="2"/>
    <x v="0"/>
    <d v="2019-06-27T00:00:00"/>
    <d v="2019-07-09T00:00:00"/>
    <d v="2019-07-03T00:00:00"/>
    <s v="Missed Phase End Date"/>
  </r>
  <r>
    <n v="390575"/>
    <s v="cccc vvvv gggg mmm "/>
    <x v="2"/>
    <s v="Steve"/>
    <s v="Waterfall"/>
    <x v="0"/>
    <x v="0"/>
    <d v="2019-06-28T00:00:00"/>
    <d v="2019-07-10T00:00:00"/>
    <d v="2019-07-04T00:00:00"/>
    <s v="Missed Phase End Date"/>
  </r>
  <r>
    <n v="390576"/>
    <s v="Xxx yyyy xx yyyy vvv"/>
    <x v="3"/>
    <s v="Barun"/>
    <s v="Waterfall"/>
    <x v="5"/>
    <x v="1"/>
    <d v="2019-06-29T00:00:00"/>
    <d v="2019-07-11T00:00:00"/>
    <d v="2019-07-05T00:00:00"/>
    <s v="OK"/>
  </r>
  <r>
    <n v="390577"/>
    <s v="cccc vvvv gggg mmm "/>
    <x v="1"/>
    <s v="Jim"/>
    <s v="Iterative"/>
    <x v="6"/>
    <x v="0"/>
    <d v="2019-06-30T00:00:00"/>
    <d v="2019-05-15T00:00:00"/>
    <d v="2019-07-06T00:00:00"/>
    <s v="Missed Phase End Date"/>
  </r>
  <r>
    <n v="390578"/>
    <s v="Xxx yyyy xx yyyy vvv"/>
    <x v="2"/>
    <s v="Steve"/>
    <s v="Agile"/>
    <x v="0"/>
    <x v="0"/>
    <d v="2019-07-01T00:00:00"/>
    <d v="2019-05-16T00:00:00"/>
    <d v="2019-07-07T00:00:00"/>
    <s v="Missed Phase End Date"/>
  </r>
  <r>
    <n v="390579"/>
    <s v="cccc vvvv gggg mmm "/>
    <x v="0"/>
    <s v="Barun"/>
    <s v="Iterative"/>
    <x v="0"/>
    <x v="0"/>
    <d v="2019-07-02T00:00:00"/>
    <d v="2019-05-17T00:00:00"/>
    <d v="2019-07-08T00:00:00"/>
    <s v="Missed Phase End Date"/>
  </r>
  <r>
    <n v="390580"/>
    <s v="Xxx yyyy xx yyyy vvv"/>
    <x v="1"/>
    <s v="Jim"/>
    <s v="Agile"/>
    <x v="1"/>
    <x v="0"/>
    <d v="2019-07-03T00:00:00"/>
    <d v="2019-05-18T00:00:00"/>
    <d v="2019-07-09T00:00:00"/>
    <s v="OK"/>
  </r>
  <r>
    <n v="390581"/>
    <s v="cccc vvvv gggg mmm "/>
    <x v="2"/>
    <s v="Steve"/>
    <s v="Waterfall"/>
    <x v="2"/>
    <x v="0"/>
    <d v="2019-07-04T00:00:00"/>
    <d v="2019-05-19T00:00:00"/>
    <d v="2019-07-10T00:00:00"/>
    <s v="OK"/>
  </r>
  <r>
    <n v="390582"/>
    <s v="Xxx yyyy xx yyyy vvv"/>
    <x v="3"/>
    <s v="Barun"/>
    <s v="Agile"/>
    <x v="1"/>
    <x v="0"/>
    <d v="2019-07-05T00:00:00"/>
    <d v="2019-05-20T00:00:00"/>
    <d v="2019-07-11T00:00:00"/>
    <s v="OK"/>
  </r>
  <r>
    <n v="390583"/>
    <s v="cccc vvvv gggg mmm "/>
    <x v="4"/>
    <s v="Jim"/>
    <s v="Iterative"/>
    <x v="0"/>
    <x v="1"/>
    <d v="2019-07-06T00:00:00"/>
    <d v="2019-05-21T00:00:00"/>
    <d v="2019-05-15T00:00:00"/>
    <s v="OK"/>
  </r>
  <r>
    <n v="390584"/>
    <s v="Xxx yyyy xx yyyy vvv"/>
    <x v="5"/>
    <s v="Steve"/>
    <s v="Waterfall"/>
    <x v="4"/>
    <x v="0"/>
    <d v="2019-07-07T00:00:00"/>
    <d v="2019-05-22T00:00:00"/>
    <d v="2019-05-16T00:00:00"/>
    <s v="OK"/>
  </r>
  <r>
    <n v="390585"/>
    <s v="cccc vvvv gggg mmm "/>
    <x v="6"/>
    <s v="Barun"/>
    <s v="Waterfall"/>
    <x v="0"/>
    <x v="0"/>
    <d v="2019-07-08T00:00:00"/>
    <d v="2019-05-23T00:00:00"/>
    <d v="2019-05-17T00:00:00"/>
    <s v="OK"/>
  </r>
  <r>
    <n v="390586"/>
    <s v="Xxx yyyy xx yyyy vvv"/>
    <x v="7"/>
    <s v="Jim"/>
    <s v="Iterative"/>
    <x v="2"/>
    <x v="0"/>
    <d v="2019-07-09T00:00:00"/>
    <d v="2019-05-24T00:00:00"/>
    <d v="2019-05-18T00:00:00"/>
    <s v="OK"/>
  </r>
  <r>
    <n v="390587"/>
    <s v="cccc vvvv gggg mmm "/>
    <x v="8"/>
    <s v="Steve"/>
    <s v="Agile"/>
    <x v="4"/>
    <x v="0"/>
    <d v="2019-07-10T00:00:00"/>
    <d v="2019-05-25T00:00:00"/>
    <d v="2019-05-19T00:00:00"/>
    <s v="OK"/>
  </r>
  <r>
    <n v="390588"/>
    <s v="Xxx yyyy xx yyyy vvv"/>
    <x v="9"/>
    <s v="Barun"/>
    <s v="Iterative"/>
    <x v="2"/>
    <x v="0"/>
    <d v="2019-07-11T00:00:00"/>
    <d v="2019-05-26T00:00:00"/>
    <d v="2019-05-20T00:00:00"/>
    <s v="OK"/>
  </r>
  <r>
    <n v="390589"/>
    <s v="cccc vvvv gggg mmm "/>
    <x v="10"/>
    <s v="Jim"/>
    <s v="Agile"/>
    <x v="5"/>
    <x v="0"/>
    <d v="2019-05-15T00:00:00"/>
    <d v="2019-05-27T00:00:00"/>
    <d v="2019-05-21T00:00:00"/>
    <s v="OK"/>
  </r>
  <r>
    <n v="390590"/>
    <s v="Xxx yyyy xx yyyy vvv"/>
    <x v="11"/>
    <s v="Steve"/>
    <s v="Waterfall"/>
    <x v="2"/>
    <x v="0"/>
    <d v="2019-05-16T00:00:00"/>
    <d v="2019-07-04T00:00:00"/>
    <d v="2019-05-22T00:00:00"/>
    <s v="Missed Phase End Date"/>
  </r>
  <r>
    <n v="390591"/>
    <s v="cccc vvvv gggg mmm "/>
    <x v="12"/>
    <s v="Barun"/>
    <s v="Agile"/>
    <x v="5"/>
    <x v="1"/>
    <d v="2019-05-17T00:00:00"/>
    <d v="2019-07-05T00:00:00"/>
    <d v="2019-05-23T00:00:00"/>
    <s v="OK"/>
  </r>
  <r>
    <n v="390592"/>
    <s v="Xxx yyyy xx yyyy vvv"/>
    <x v="13"/>
    <s v="Jim"/>
    <s v="Iterative"/>
    <x v="0"/>
    <x v="0"/>
    <d v="2019-05-18T00:00:00"/>
    <d v="2019-07-06T00:00:00"/>
    <d v="2019-05-24T00:00:00"/>
    <s v="Missed Phase End Date"/>
  </r>
  <r>
    <n v="390593"/>
    <s v="cccc vvvv gggg mmm "/>
    <x v="14"/>
    <s v="Steve"/>
    <s v="Waterfall"/>
    <x v="1"/>
    <x v="0"/>
    <d v="2019-05-19T00:00:00"/>
    <d v="2019-07-07T00:00:00"/>
    <d v="2019-05-25T00:00:00"/>
    <s v="Missed Phase End Date"/>
  </r>
  <r>
    <n v="390594"/>
    <s v="Xxx yyyy xx yyyy vvv"/>
    <x v="5"/>
    <s v="Steve"/>
    <s v="Waterfall"/>
    <x v="4"/>
    <x v="0"/>
    <d v="2019-05-20T00:00:00"/>
    <d v="2019-07-08T00:00:00"/>
    <d v="2019-05-26T00:00:00"/>
    <s v="OK"/>
  </r>
  <r>
    <n v="390595"/>
    <s v="cccc vvvv gggg mmm "/>
    <x v="6"/>
    <s v="Barun"/>
    <s v="Iterative"/>
    <x v="1"/>
    <x v="0"/>
    <d v="2019-05-21T00:00:00"/>
    <d v="2019-07-09T00:00:00"/>
    <d v="2019-05-27T00:00:00"/>
    <s v="Missed Phase End Date"/>
  </r>
  <r>
    <n v="390596"/>
    <s v="Xxx yyyy xx yyyy vvv"/>
    <x v="7"/>
    <s v="Jim"/>
    <s v="Agile"/>
    <x v="0"/>
    <x v="0"/>
    <d v="2019-05-22T00:00:00"/>
    <d v="2019-07-10T00:00:00"/>
    <d v="2019-07-04T00:00:00"/>
    <s v="Missed Phase End Date"/>
  </r>
  <r>
    <n v="390597"/>
    <s v="cccc vvvv gggg mmm "/>
    <x v="8"/>
    <s v="Steve"/>
    <s v="Iterative"/>
    <x v="1"/>
    <x v="0"/>
    <d v="2019-05-23T00:00:00"/>
    <d v="2019-07-11T00:00:00"/>
    <d v="2019-07-05T00:00:00"/>
    <s v="Missed Phase End Date"/>
  </r>
  <r>
    <n v="390598"/>
    <s v="Xxx yyyy xx yyyy vvv"/>
    <x v="1"/>
    <s v="Jim"/>
    <s v="Agile"/>
    <x v="2"/>
    <x v="0"/>
    <d v="2019-05-24T00:00:00"/>
    <d v="2019-05-23T00:00:00"/>
    <d v="2019-07-06T00:00:00"/>
    <s v="Missed Phase End Date"/>
  </r>
  <r>
    <n v="390599"/>
    <s v="cccc vvvv gggg mmm "/>
    <x v="2"/>
    <s v="Steve"/>
    <s v="Waterfall"/>
    <x v="0"/>
    <x v="0"/>
    <d v="2019-05-25T00:00:00"/>
    <d v="2019-05-24T00:00:00"/>
    <d v="2019-07-07T00:00:00"/>
    <s v="Missed Phase End Date"/>
  </r>
  <r>
    <n v="390600"/>
    <s v="Xxx yyyy xx yyyy vvv"/>
    <x v="3"/>
    <s v="Barun"/>
    <s v="Agile"/>
    <x v="5"/>
    <x v="0"/>
    <d v="2019-05-26T00:00:00"/>
    <d v="2019-05-25T00:00:00"/>
    <d v="2019-07-08T00:00:00"/>
    <s v="OK"/>
  </r>
  <r>
    <n v="390601"/>
    <s v="cccc vvvv gggg mmm "/>
    <x v="1"/>
    <s v="Jim"/>
    <s v="Iterative"/>
    <x v="6"/>
    <x v="0"/>
    <d v="2019-05-27T00:00:00"/>
    <d v="2019-05-26T00:00:00"/>
    <d v="2019-07-09T00:00:00"/>
    <s v="Missed Phase End Date"/>
  </r>
  <r>
    <n v="390602"/>
    <s v="Xxx yyyy xx yyyy vvv"/>
    <x v="2"/>
    <s v="Steve"/>
    <s v="Waterfall"/>
    <x v="0"/>
    <x v="1"/>
    <d v="2019-07-04T00:00:00"/>
    <d v="2019-05-27T00:00:00"/>
    <d v="2019-07-07T00:00:00"/>
    <s v="OK"/>
  </r>
  <r>
    <n v="390603"/>
    <s v="cccc vvvv gggg mmm "/>
    <x v="0"/>
    <s v="Barun"/>
    <s v="Waterfall"/>
    <x v="0"/>
    <x v="0"/>
    <d v="2019-07-05T00:00:00"/>
    <d v="2019-06-07T00:00:00"/>
    <d v="2019-07-08T00:00:00"/>
    <s v="OK"/>
  </r>
  <r>
    <n v="390604"/>
    <s v="Xxx yyyy xx yyyy vvv"/>
    <x v="1"/>
    <s v="Jim"/>
    <s v="Iterative"/>
    <x v="1"/>
    <x v="0"/>
    <d v="2019-07-06T00:00:00"/>
    <d v="2019-06-08T00:00:00"/>
    <d v="2019-07-09T00:00:00"/>
    <s v="OK"/>
  </r>
  <r>
    <n v="390605"/>
    <s v="cccc vvvv gggg mmm "/>
    <x v="2"/>
    <s v="Steve"/>
    <s v="Agile"/>
    <x v="2"/>
    <x v="0"/>
    <d v="2019-07-07T00:00:00"/>
    <d v="2019-06-09T00:00:00"/>
    <d v="2019-07-10T00:00:00"/>
    <s v="OK"/>
  </r>
  <r>
    <n v="390606"/>
    <s v="Xxx yyyy xx yyyy vvv"/>
    <x v="3"/>
    <s v="Barun"/>
    <s v="Iterative"/>
    <x v="1"/>
    <x v="0"/>
    <d v="2019-07-08T00:00:00"/>
    <d v="2019-06-10T00:00:00"/>
    <d v="2019-07-11T00:00:00"/>
    <s v="OK"/>
  </r>
  <r>
    <n v="390607"/>
    <s v="cccc vvvv gggg mmm "/>
    <x v="4"/>
    <s v="Jim"/>
    <s v="Agile"/>
    <x v="0"/>
    <x v="0"/>
    <d v="2019-07-09T00:00:00"/>
    <d v="2019-06-11T00:00:00"/>
    <d v="2019-05-23T00:00:00"/>
    <s v="OK"/>
  </r>
  <r>
    <n v="390608"/>
    <s v="Xxx yyyy xx yyyy vvv"/>
    <x v="5"/>
    <s v="Steve"/>
    <s v="Waterfall"/>
    <x v="4"/>
    <x v="0"/>
    <d v="2019-07-10T00:00:00"/>
    <d v="2019-06-12T00:00:00"/>
    <d v="2019-05-24T00:00:00"/>
    <s v="OK"/>
  </r>
  <r>
    <n v="390609"/>
    <s v="cccc vvvv gggg mmm "/>
    <x v="6"/>
    <s v="Barun"/>
    <s v="Agile"/>
    <x v="0"/>
    <x v="0"/>
    <d v="2019-07-11T00:00:00"/>
    <d v="2019-06-13T00:00:00"/>
    <d v="2019-05-25T00:00:00"/>
    <s v="OK"/>
  </r>
  <r>
    <n v="390610"/>
    <s v="Xxx yyyy xx yyyy vvv"/>
    <x v="7"/>
    <s v="Jim"/>
    <s v="Iterative"/>
    <x v="2"/>
    <x v="0"/>
    <d v="2019-05-23T00:00:00"/>
    <d v="2019-07-04T00:00:00"/>
    <d v="2019-05-26T00:00:00"/>
    <s v="Missed Phase End Date"/>
  </r>
  <r>
    <n v="390611"/>
    <s v="cccc vvvv gggg mmm "/>
    <x v="8"/>
    <s v="Steve"/>
    <s v="Waterfall"/>
    <x v="4"/>
    <x v="0"/>
    <d v="2019-05-24T00:00:00"/>
    <d v="2019-07-05T00:00:00"/>
    <d v="2019-05-27T00:00:00"/>
    <s v="OK"/>
  </r>
  <r>
    <n v="390612"/>
    <s v="Xxx yyyy xx yyyy vvv"/>
    <x v="9"/>
    <s v="Barun"/>
    <s v="Waterfall"/>
    <x v="2"/>
    <x v="0"/>
    <d v="2019-05-25T00:00:00"/>
    <d v="2019-07-06T00:00:00"/>
    <d v="2019-06-07T00:00:00"/>
    <s v="Missed Phase End Date"/>
  </r>
  <r>
    <n v="390613"/>
    <s v="cccc vvvv gggg mmm "/>
    <x v="10"/>
    <s v="Jim"/>
    <s v="Iterative"/>
    <x v="5"/>
    <x v="0"/>
    <d v="2019-05-26T00:00:00"/>
    <d v="2019-07-07T00:00:00"/>
    <d v="2019-06-08T00:00:00"/>
    <s v="OK"/>
  </r>
  <r>
    <n v="390614"/>
    <s v="Xxx yyyy xx yyyy vvv"/>
    <x v="11"/>
    <s v="Steve"/>
    <s v="Agile"/>
    <x v="2"/>
    <x v="0"/>
    <d v="2019-05-27T00:00:00"/>
    <d v="2019-07-08T00:00:00"/>
    <d v="2019-06-09T00:00:00"/>
    <s v="Missed Phase End Date"/>
  </r>
  <r>
    <n v="390615"/>
    <s v="cccc vvvv gggg mmm "/>
    <x v="12"/>
    <s v="Barun"/>
    <s v="Iterative"/>
    <x v="5"/>
    <x v="0"/>
    <d v="2019-06-07T00:00:00"/>
    <d v="2019-07-09T00:00:00"/>
    <d v="2019-06-10T00:00:00"/>
    <s v="OK"/>
  </r>
  <r>
    <n v="390616"/>
    <s v="Xxx yyyy xx yyyy vvv"/>
    <x v="13"/>
    <s v="Jim"/>
    <s v="Agile"/>
    <x v="0"/>
    <x v="0"/>
    <d v="2019-06-08T00:00:00"/>
    <d v="2019-06-12T00:00:00"/>
    <d v="2019-06-11T00:00:00"/>
    <s v="Missed Phase End Date"/>
  </r>
  <r>
    <n v="390617"/>
    <s v="cccc vvvv gggg mmm "/>
    <x v="14"/>
    <s v="Steve"/>
    <s v="Waterfall"/>
    <x v="1"/>
    <x v="0"/>
    <d v="2019-06-09T00:00:00"/>
    <d v="2019-06-13T00:00:00"/>
    <d v="2019-06-12T00:00:00"/>
    <s v="Missed Phase End Date"/>
  </r>
  <r>
    <n v="390618"/>
    <s v="Xxx yyyy xx yyyy vvv"/>
    <x v="5"/>
    <s v="Steve"/>
    <s v="Agile"/>
    <x v="4"/>
    <x v="1"/>
    <d v="2019-06-10T00:00:00"/>
    <d v="2019-06-12T00:00:00"/>
    <d v="2019-06-13T00:00:00"/>
    <s v="OK"/>
  </r>
  <r>
    <n v="390619"/>
    <s v="cccc vvvv gggg mmm "/>
    <x v="6"/>
    <s v="Barun"/>
    <s v="Iterative"/>
    <x v="1"/>
    <x v="0"/>
    <d v="2019-06-11T00:00:00"/>
    <d v="2019-06-13T00:00:00"/>
    <d v="2019-07-04T00:00:00"/>
    <s v="Missed Phase End Date"/>
  </r>
  <r>
    <n v="390620"/>
    <s v="Xxx yyyy xx yyyy vvv"/>
    <x v="7"/>
    <s v="Jim"/>
    <s v="Waterfall"/>
    <x v="0"/>
    <x v="0"/>
    <d v="2019-06-12T00:00:00"/>
    <d v="2019-07-04T00:00:00"/>
    <d v="2019-07-05T00:00:00"/>
    <s v="Missed Phase End Date"/>
  </r>
  <r>
    <n v="390621"/>
    <s v="cccc vvvv gggg mmm "/>
    <x v="8"/>
    <s v="Steve"/>
    <s v="Waterfall"/>
    <x v="1"/>
    <x v="0"/>
    <d v="2019-06-13T00:00:00"/>
    <d v="2019-07-05T00:00:00"/>
    <d v="2019-07-06T00:00:00"/>
    <s v="Missed Phase End Date"/>
  </r>
  <r>
    <n v="390622"/>
    <s v="Xxx yyyy xx yyyy vvv"/>
    <x v="1"/>
    <s v="Jim"/>
    <s v="Iterative"/>
    <x v="2"/>
    <x v="1"/>
    <d v="2019-07-04T00:00:00"/>
    <d v="2019-07-06T00:00:00"/>
    <d v="2019-07-07T00:00:00"/>
    <s v="OK"/>
  </r>
  <r>
    <n v="390623"/>
    <s v="cccc vvvv gggg mmm "/>
    <x v="2"/>
    <s v="Steve"/>
    <s v="Agile"/>
    <x v="0"/>
    <x v="0"/>
    <d v="2019-07-05T00:00:00"/>
    <d v="2019-07-07T00:00:00"/>
    <d v="2019-07-08T00:00:00"/>
    <s v="OK"/>
  </r>
  <r>
    <n v="390624"/>
    <s v="Xxx yyyy xx yyyy vvv"/>
    <x v="3"/>
    <s v="Barun"/>
    <s v="Iterative"/>
    <x v="5"/>
    <x v="0"/>
    <d v="2019-07-06T00:00:00"/>
    <d v="2019-07-08T00:00:00"/>
    <d v="2019-07-09T00:00:00"/>
    <s v="OK"/>
  </r>
  <r>
    <n v="390625"/>
    <s v="cccc vvvv gggg mmm "/>
    <x v="1"/>
    <s v="Jim"/>
    <s v="Agile"/>
    <x v="6"/>
    <x v="0"/>
    <d v="2019-07-07T00:00:00"/>
    <d v="2019-07-06T00:00:00"/>
    <d v="2019-06-12T00:00:00"/>
    <s v="OK"/>
  </r>
  <r>
    <n v="390626"/>
    <s v="Xxx yyyy xx yyyy vvv"/>
    <x v="2"/>
    <s v="Steve"/>
    <s v="Waterfall"/>
    <x v="0"/>
    <x v="0"/>
    <d v="2019-07-08T00:00:00"/>
    <d v="2019-07-07T00:00:00"/>
    <d v="2019-06-13T00:00:00"/>
    <s v="OK"/>
  </r>
  <r>
    <n v="390627"/>
    <s v="cccc vvvv gggg mmm "/>
    <x v="0"/>
    <s v="Barun"/>
    <s v="Agile"/>
    <x v="2"/>
    <x v="0"/>
    <d v="2019-07-09T00:00:00"/>
    <d v="2019-07-08T00:00:00"/>
    <d v="2019-05-15T00:00:00"/>
    <s v="OK"/>
  </r>
  <r>
    <n v="390628"/>
    <s v="cccc vvvv gggg mmm "/>
    <x v="1"/>
    <s v="Jim"/>
    <s v="Iterative"/>
    <x v="0"/>
    <x v="0"/>
    <d v="2019-06-12T00:00:00"/>
    <d v="2019-07-09T00:00:00"/>
    <d v="2019-05-16T00:00:00"/>
    <s v="Missed Phase End Date"/>
  </r>
  <r>
    <n v="390629"/>
    <s v="cccc vvvv gggg mmm "/>
    <x v="2"/>
    <s v="Steve"/>
    <s v="Waterfall"/>
    <x v="5"/>
    <x v="0"/>
    <d v="2019-06-13T00:00:00"/>
    <d v="2019-06-12T00:00:00"/>
    <d v="2019-05-17T00:00:00"/>
    <s v="OK"/>
  </r>
</pivotCacheRecords>
</file>

<file path=xl/pivotCache/pivotCacheRecords3.xml><?xml version="1.0" encoding="utf-8"?>
<pivotCacheRecords xmlns="http://schemas.openxmlformats.org/spreadsheetml/2006/main" xmlns:r="http://schemas.openxmlformats.org/officeDocument/2006/relationships" count="99">
  <r>
    <s v="390531"/>
    <s v="Xxx yyyy xx yyyy vvv"/>
    <s v="Aaron Finch"/>
    <x v="0"/>
    <x v="0"/>
    <n v="20000"/>
    <n v="30000"/>
  </r>
  <r>
    <s v="390532"/>
    <s v="cccc vvvv gggg mmm "/>
    <s v="David Warner"/>
    <x v="1"/>
    <x v="1"/>
    <n v="55000"/>
    <n v="-25000"/>
  </r>
  <r>
    <s v="390533"/>
    <s v="Xxx yyyy xx yyyy vvv"/>
    <s v="Usman Khawaja"/>
    <x v="2"/>
    <x v="2"/>
    <n v="45000"/>
    <n v="-5000"/>
  </r>
  <r>
    <s v="390534"/>
    <s v="cccc vvvv gggg mmm "/>
    <s v="Steve Smith"/>
    <x v="0"/>
    <x v="3"/>
    <n v="500"/>
    <n v="19500"/>
  </r>
  <r>
    <s v="390535"/>
    <s v="Xxx yyyy xx yyyy vvv"/>
    <s v="Shaun Marsh"/>
    <x v="1"/>
    <x v="4"/>
    <n v="30000"/>
    <n v="25000"/>
  </r>
  <r>
    <s v="390536"/>
    <s v="cccc vvvv gggg mmm "/>
    <s v="Glenn Maxwell"/>
    <x v="2"/>
    <x v="5"/>
    <n v="40000"/>
    <n v="5000"/>
  </r>
  <r>
    <s v="390537"/>
    <s v="Xxx yyyy xx yyyy vvv"/>
    <s v="Marcus Stoinis"/>
    <x v="0"/>
    <x v="6"/>
    <n v="20000"/>
    <n v="-19500"/>
  </r>
  <r>
    <s v="390538"/>
    <s v="cccc vvvv gggg mmm "/>
    <s v="Alex Carey (wk)"/>
    <x v="1"/>
    <x v="1"/>
    <n v="20000"/>
    <n v="10000"/>
  </r>
  <r>
    <s v="390539"/>
    <s v="Xxx yyyy xx yyyy vvv"/>
    <s v="Pat Cummins"/>
    <x v="2"/>
    <x v="2"/>
    <n v="55000"/>
    <n v="-15000"/>
  </r>
  <r>
    <s v="390540"/>
    <s v="cccc vvvv gggg mmm "/>
    <s v="Mitchell Starc"/>
    <x v="0"/>
    <x v="3"/>
    <n v="45000"/>
    <n v="-25000"/>
  </r>
  <r>
    <s v="390541"/>
    <s v="Xxx yyyy xx yyyy vvv"/>
    <s v="Nathan Lyon"/>
    <x v="1"/>
    <x v="3"/>
    <n v="500"/>
    <n v="19500"/>
  </r>
  <r>
    <s v="390542"/>
    <s v="cccc vvvv gggg mmm "/>
    <s v="Adam Zampa"/>
    <x v="2"/>
    <x v="4"/>
    <n v="30000"/>
    <n v="25000"/>
  </r>
  <r>
    <s v="390543"/>
    <s v="Xxx yyyy xx yyyy vvv"/>
    <s v="Jason Behrendorff"/>
    <x v="0"/>
    <x v="5"/>
    <n v="40000"/>
    <n v="5000"/>
  </r>
  <r>
    <s v="390544"/>
    <s v="cccc vvvv gggg mmm "/>
    <s v="Nathan Coulter-Nile"/>
    <x v="1"/>
    <x v="6"/>
    <n v="20000"/>
    <n v="-19500"/>
  </r>
  <r>
    <s v="390545"/>
    <s v="Xxx yyyy xx yyyy vvv"/>
    <s v="Kane Richardson"/>
    <x v="2"/>
    <x v="1"/>
    <n v="20000"/>
    <n v="10000"/>
  </r>
  <r>
    <s v="390546"/>
    <s v="cccc vvvv gggg mmm "/>
    <s v="Glenn Maxwell"/>
    <x v="2"/>
    <x v="2"/>
    <n v="55000"/>
    <n v="-15000"/>
  </r>
  <r>
    <s v="390547"/>
    <s v="Xxx yyyy xx yyyy vvv"/>
    <s v="Marcus Stoinis"/>
    <x v="0"/>
    <x v="3"/>
    <n v="45000"/>
    <n v="-25000"/>
  </r>
  <r>
    <s v="390548"/>
    <s v="cccc vvvv gggg mmm "/>
    <s v="Alex Carey (wk)"/>
    <x v="1"/>
    <x v="3"/>
    <n v="500"/>
    <n v="19500"/>
  </r>
  <r>
    <s v="390549"/>
    <s v="Xxx yyyy xx yyyy vvv"/>
    <s v="Pat Cummins"/>
    <x v="2"/>
    <x v="4"/>
    <n v="30000"/>
    <n v="25000"/>
  </r>
  <r>
    <s v="390550"/>
    <s v="cccc vvvv gggg mmm "/>
    <s v="David Warner"/>
    <x v="1"/>
    <x v="5"/>
    <n v="20000"/>
    <n v="25000"/>
  </r>
  <r>
    <s v="390551"/>
    <s v="Xxx yyyy xx yyyy vvv"/>
    <s v="Usman Khawaja"/>
    <x v="2"/>
    <x v="6"/>
    <n v="55000"/>
    <n v="-54500"/>
  </r>
  <r>
    <s v="390552"/>
    <s v="cccc vvvv gggg mmm "/>
    <s v="Steve Smith"/>
    <x v="0"/>
    <x v="1"/>
    <n v="45000"/>
    <n v="-15000"/>
  </r>
  <r>
    <s v="390553"/>
    <s v="Xxx yyyy xx yyyy vvv"/>
    <s v="David Warner"/>
    <x v="1"/>
    <x v="3"/>
    <n v="500"/>
    <n v="19500"/>
  </r>
  <r>
    <s v="390554"/>
    <s v="cccc vvvv gggg mmm "/>
    <s v="Usman Khawaja"/>
    <x v="2"/>
    <x v="4"/>
    <n v="30000"/>
    <n v="25000"/>
  </r>
  <r>
    <s v="390555"/>
    <s v="cccc vvvv gggg mmm "/>
    <s v="Aaron Finch"/>
    <x v="0"/>
    <x v="5"/>
    <n v="40000"/>
    <n v="5000"/>
  </r>
  <r>
    <s v="390556"/>
    <s v="Xxx yyyy xx yyyy vvv"/>
    <s v="David Warner"/>
    <x v="1"/>
    <x v="6"/>
    <n v="20000"/>
    <n v="-19500"/>
  </r>
  <r>
    <s v="390557"/>
    <s v="cccc vvvv gggg mmm "/>
    <s v="Usman Khawaja"/>
    <x v="2"/>
    <x v="1"/>
    <n v="50000"/>
    <n v="-20000"/>
  </r>
  <r>
    <s v="390558"/>
    <s v="Xxx yyyy xx yyyy vvv"/>
    <s v="Steve Smith"/>
    <x v="0"/>
    <x v="2"/>
    <n v="30000"/>
    <n v="10000"/>
  </r>
  <r>
    <s v="390559"/>
    <s v="cccc vvvv gggg mmm "/>
    <s v="Shaun Marsh"/>
    <x v="1"/>
    <x v="3"/>
    <n v="40000"/>
    <n v="-20000"/>
  </r>
  <r>
    <s v="390560"/>
    <s v="Xxx yyyy xx yyyy vvv"/>
    <s v="Glenn Maxwell"/>
    <x v="2"/>
    <x v="0"/>
    <n v="20000"/>
    <n v="30000"/>
  </r>
  <r>
    <s v="390561"/>
    <s v="cccc vvvv gggg mmm "/>
    <s v="Marcus Stoinis"/>
    <x v="0"/>
    <x v="1"/>
    <n v="55000"/>
    <n v="-25000"/>
  </r>
  <r>
    <s v="390562"/>
    <s v="Xxx yyyy xx yyyy vvv"/>
    <s v="Alex Carey (wk)"/>
    <x v="1"/>
    <x v="2"/>
    <n v="45000"/>
    <n v="-5000"/>
  </r>
  <r>
    <s v="390563"/>
    <s v="cccc vvvv gggg mmm "/>
    <s v="Pat Cummins"/>
    <x v="2"/>
    <x v="3"/>
    <n v="500"/>
    <n v="19500"/>
  </r>
  <r>
    <s v="390564"/>
    <s v="Xxx yyyy xx yyyy vvv"/>
    <s v="Mitchell Starc"/>
    <x v="0"/>
    <x v="4"/>
    <n v="30000"/>
    <n v="25000"/>
  </r>
  <r>
    <s v="390565"/>
    <s v="cccc vvvv gggg mmm "/>
    <s v="Nathan Lyon"/>
    <x v="1"/>
    <x v="5"/>
    <n v="40000"/>
    <n v="5000"/>
  </r>
  <r>
    <s v="390566"/>
    <s v="Xxx yyyy xx yyyy vvv"/>
    <s v="Adam Zampa"/>
    <x v="2"/>
    <x v="6"/>
    <n v="20000"/>
    <n v="-19500"/>
  </r>
  <r>
    <s v="390567"/>
    <s v="cccc vvvv gggg mmm "/>
    <s v="Jason Behrendorff"/>
    <x v="0"/>
    <x v="1"/>
    <n v="20000"/>
    <n v="10000"/>
  </r>
  <r>
    <s v="390568"/>
    <s v="Xxx yyyy xx yyyy vvv"/>
    <s v="Nathan Coulter-Nile"/>
    <x v="1"/>
    <x v="2"/>
    <n v="55000"/>
    <n v="-15000"/>
  </r>
  <r>
    <s v="390569"/>
    <s v="cccc vvvv gggg mmm "/>
    <s v="Kane Richardson"/>
    <x v="2"/>
    <x v="3"/>
    <n v="45000"/>
    <n v="-25000"/>
  </r>
  <r>
    <s v="390570"/>
    <s v="Xxx yyyy xx yyyy vvv"/>
    <s v="Glenn Maxwell"/>
    <x v="2"/>
    <x v="3"/>
    <n v="500"/>
    <n v="19500"/>
  </r>
  <r>
    <s v="390571"/>
    <s v="cccc vvvv gggg mmm "/>
    <s v="Marcus Stoinis"/>
    <x v="0"/>
    <x v="4"/>
    <n v="30000"/>
    <n v="25000"/>
  </r>
  <r>
    <s v="390572"/>
    <s v="Xxx yyyy xx yyyy vvv"/>
    <s v="Alex Carey (wk)"/>
    <x v="1"/>
    <x v="5"/>
    <n v="40000"/>
    <n v="5000"/>
  </r>
  <r>
    <s v="390573"/>
    <s v="cccc vvvv gggg mmm "/>
    <s v="Pat Cummins"/>
    <x v="2"/>
    <x v="6"/>
    <n v="20000"/>
    <n v="-19500"/>
  </r>
  <r>
    <s v="390574"/>
    <s v="Xxx yyyy xx yyyy vvv"/>
    <s v="David Warner"/>
    <x v="1"/>
    <x v="1"/>
    <n v="20000"/>
    <n v="10000"/>
  </r>
  <r>
    <s v="390575"/>
    <s v="cccc vvvv gggg mmm "/>
    <s v="Usman Khawaja"/>
    <x v="2"/>
    <x v="2"/>
    <n v="55000"/>
    <n v="-15000"/>
  </r>
  <r>
    <s v="390576"/>
    <s v="Xxx yyyy xx yyyy vvv"/>
    <s v="Steve Smith"/>
    <x v="0"/>
    <x v="3"/>
    <n v="45000"/>
    <n v="-25000"/>
  </r>
  <r>
    <s v="390577"/>
    <s v="cccc vvvv gggg mmm "/>
    <s v="David Warner"/>
    <x v="1"/>
    <x v="3"/>
    <n v="500"/>
    <n v="19500"/>
  </r>
  <r>
    <s v="390578"/>
    <s v="Xxx yyyy xx yyyy vvv"/>
    <s v="Usman Khawaja"/>
    <x v="2"/>
    <x v="4"/>
    <n v="30000"/>
    <n v="25000"/>
  </r>
  <r>
    <s v="390579"/>
    <s v="cccc vvvv gggg mmm "/>
    <s v="Aaron Finch"/>
    <x v="0"/>
    <x v="5"/>
    <n v="55000"/>
    <n v="-10000"/>
  </r>
  <r>
    <s v="390580"/>
    <s v="Xxx yyyy xx yyyy vvv"/>
    <s v="David Warner"/>
    <x v="1"/>
    <x v="6"/>
    <n v="45000"/>
    <n v="-44500"/>
  </r>
  <r>
    <s v="390581"/>
    <s v="cccc vvvv gggg mmm "/>
    <s v="Usman Khawaja"/>
    <x v="2"/>
    <x v="1"/>
    <n v="500"/>
    <n v="29500"/>
  </r>
  <r>
    <s v="390582"/>
    <s v="Xxx yyyy xx yyyy vvv"/>
    <s v="Steve Smith"/>
    <x v="0"/>
    <x v="4"/>
    <n v="30000"/>
    <n v="25000"/>
  </r>
  <r>
    <s v="390583"/>
    <s v="cccc vvvv gggg mmm "/>
    <s v="Shaun Marsh"/>
    <x v="1"/>
    <x v="5"/>
    <n v="30000"/>
    <n v="15000"/>
  </r>
  <r>
    <s v="390584"/>
    <s v="Xxx yyyy xx yyyy vvv"/>
    <s v="Glenn Maxwell"/>
    <x v="2"/>
    <x v="6"/>
    <n v="40000"/>
    <n v="-39500"/>
  </r>
  <r>
    <s v="390585"/>
    <s v="cccc vvvv gggg mmm "/>
    <s v="Marcus Stoinis"/>
    <x v="0"/>
    <x v="1"/>
    <n v="20000"/>
    <n v="10000"/>
  </r>
  <r>
    <s v="390586"/>
    <s v="Xxx yyyy xx yyyy vvv"/>
    <s v="Alex Carey (wk)"/>
    <x v="1"/>
    <x v="1"/>
    <n v="40000"/>
    <n v="-10000"/>
  </r>
  <r>
    <s v="390587"/>
    <s v="cccc vvvv gggg mmm "/>
    <s v="Pat Cummins"/>
    <x v="2"/>
    <x v="2"/>
    <n v="20000"/>
    <n v="20000"/>
  </r>
  <r>
    <s v="390588"/>
    <s v="Xxx yyyy xx yyyy vvv"/>
    <s v="Mitchell Starc"/>
    <x v="0"/>
    <x v="3"/>
    <n v="19000"/>
    <n v="1000"/>
  </r>
  <r>
    <s v="390589"/>
    <s v="cccc vvvv gggg mmm "/>
    <s v="Nathan Lyon"/>
    <x v="1"/>
    <x v="2"/>
    <n v="55000"/>
    <n v="-15000"/>
  </r>
  <r>
    <s v="390590"/>
    <s v="Xxx yyyy xx yyyy vvv"/>
    <s v="Adam Zampa"/>
    <x v="2"/>
    <x v="3"/>
    <n v="45000"/>
    <n v="-25000"/>
  </r>
  <r>
    <s v="390591"/>
    <s v="cccc vvvv gggg mmm "/>
    <s v="Jason Behrendorff"/>
    <x v="0"/>
    <x v="3"/>
    <n v="500"/>
    <n v="19500"/>
  </r>
  <r>
    <s v="390592"/>
    <s v="Xxx yyyy xx yyyy vvv"/>
    <s v="Nathan Coulter-Nile"/>
    <x v="1"/>
    <x v="4"/>
    <n v="30000"/>
    <n v="25000"/>
  </r>
  <r>
    <s v="390593"/>
    <s v="cccc vvvv gggg mmm "/>
    <s v="Kane Richardson"/>
    <x v="2"/>
    <x v="5"/>
    <n v="40000"/>
    <n v="5000"/>
  </r>
  <r>
    <s v="390594"/>
    <s v="Xxx yyyy xx yyyy vvv"/>
    <s v="Glenn Maxwell"/>
    <x v="2"/>
    <x v="6"/>
    <n v="20000"/>
    <n v="-19500"/>
  </r>
  <r>
    <s v="390595"/>
    <s v="cccc vvvv gggg mmm "/>
    <s v="Marcus Stoinis"/>
    <x v="0"/>
    <x v="1"/>
    <n v="20000"/>
    <n v="10000"/>
  </r>
  <r>
    <s v="390596"/>
    <s v="Xxx yyyy xx yyyy vvv"/>
    <s v="Alex Carey (wk)"/>
    <x v="1"/>
    <x v="2"/>
    <n v="20000"/>
    <n v="20000"/>
  </r>
  <r>
    <s v="390597"/>
    <s v="cccc vvvv gggg mmm "/>
    <s v="Pat Cummins"/>
    <x v="2"/>
    <x v="3"/>
    <n v="55000"/>
    <n v="-35000"/>
  </r>
  <r>
    <s v="390598"/>
    <s v="Xxx yyyy xx yyyy vvv"/>
    <s v="David Warner"/>
    <x v="1"/>
    <x v="3"/>
    <n v="45000"/>
    <n v="-25000"/>
  </r>
  <r>
    <s v="390599"/>
    <s v="cccc vvvv gggg mmm "/>
    <s v="Usman Khawaja"/>
    <x v="2"/>
    <x v="3"/>
    <n v="500"/>
    <n v="19500"/>
  </r>
  <r>
    <s v="390600"/>
    <s v="Xxx yyyy xx yyyy vvv"/>
    <s v="Steve Smith"/>
    <x v="0"/>
    <x v="4"/>
    <n v="30000"/>
    <n v="25000"/>
  </r>
  <r>
    <s v="390601"/>
    <s v="cccc vvvv gggg mmm "/>
    <s v="David Warner"/>
    <x v="1"/>
    <x v="5"/>
    <n v="40000"/>
    <n v="5000"/>
  </r>
  <r>
    <s v="390602"/>
    <s v="Xxx yyyy xx yyyy vvv"/>
    <s v="Usman Khawaja"/>
    <x v="2"/>
    <x v="6"/>
    <n v="20000"/>
    <n v="-19500"/>
  </r>
  <r>
    <s v="390603"/>
    <s v="cccc vvvv gggg mmm "/>
    <s v="Aaron Finch"/>
    <x v="0"/>
    <x v="1"/>
    <n v="45000"/>
    <n v="-15000"/>
  </r>
  <r>
    <s v="390604"/>
    <s v="Xxx yyyy xx yyyy vvv"/>
    <s v="David Warner"/>
    <x v="1"/>
    <x v="2"/>
    <n v="500"/>
    <n v="39500"/>
  </r>
  <r>
    <s v="390605"/>
    <s v="cccc vvvv gggg mmm "/>
    <s v="Usman Khawaja"/>
    <x v="2"/>
    <x v="3"/>
    <n v="30000"/>
    <n v="-10000"/>
  </r>
  <r>
    <s v="390606"/>
    <s v="Xxx yyyy xx yyyy vvv"/>
    <s v="Steve Smith"/>
    <x v="0"/>
    <x v="5"/>
    <n v="20000"/>
    <n v="25000"/>
  </r>
  <r>
    <s v="390607"/>
    <s v="cccc vvvv gggg mmm "/>
    <s v="Shaun Marsh"/>
    <x v="1"/>
    <x v="6"/>
    <n v="55000"/>
    <n v="-54500"/>
  </r>
  <r>
    <s v="390608"/>
    <s v="Xxx yyyy xx yyyy vvv"/>
    <s v="Glenn Maxwell"/>
    <x v="2"/>
    <x v="1"/>
    <n v="30000"/>
    <n v="26000"/>
  </r>
  <r>
    <s v="390609"/>
    <s v="cccc vvvv gggg mmm "/>
    <s v="Marcus Stoinis"/>
    <x v="0"/>
    <x v="3"/>
    <n v="40000"/>
    <n v="-20000"/>
  </r>
  <r>
    <s v="390610"/>
    <s v="Xxx yyyy xx yyyy vvv"/>
    <s v="Alex Carey (wk)"/>
    <x v="1"/>
    <x v="4"/>
    <n v="20000"/>
    <n v="35000"/>
  </r>
  <r>
    <s v="390611"/>
    <s v="cccc vvvv gggg mmm "/>
    <s v="Pat Cummins"/>
    <x v="2"/>
    <x v="5"/>
    <n v="20000"/>
    <n v="25000"/>
  </r>
  <r>
    <s v="390612"/>
    <s v="Xxx yyyy xx yyyy vvv"/>
    <s v="Mitchell Starc"/>
    <x v="0"/>
    <x v="6"/>
    <n v="55000"/>
    <n v="-54500"/>
  </r>
  <r>
    <s v="390613"/>
    <s v="cccc vvvv gggg mmm "/>
    <s v="Nathan Lyon"/>
    <x v="1"/>
    <x v="1"/>
    <n v="45000"/>
    <n v="-15000"/>
  </r>
  <r>
    <s v="390614"/>
    <s v="Xxx yyyy xx yyyy vvv"/>
    <s v="Adam Zampa"/>
    <x v="2"/>
    <x v="2"/>
    <n v="500"/>
    <n v="39500"/>
  </r>
  <r>
    <s v="390615"/>
    <s v="cccc vvvv gggg mmm "/>
    <s v="Jason Behrendorff"/>
    <x v="0"/>
    <x v="3"/>
    <n v="30000"/>
    <n v="-10000"/>
  </r>
  <r>
    <s v="390616"/>
    <s v="Xxx yyyy xx yyyy vvv"/>
    <s v="Nathan Coulter-Nile"/>
    <x v="1"/>
    <x v="0"/>
    <n v="20000"/>
    <n v="30000"/>
  </r>
  <r>
    <s v="390617"/>
    <s v="cccc vvvv gggg mmm "/>
    <s v="Kane Richardson"/>
    <x v="2"/>
    <x v="1"/>
    <n v="55000"/>
    <n v="-25000"/>
  </r>
  <r>
    <s v="390618"/>
    <s v="Xxx yyyy xx yyyy vvv"/>
    <s v="Glenn Maxwell"/>
    <x v="2"/>
    <x v="2"/>
    <n v="45000"/>
    <n v="-5000"/>
  </r>
  <r>
    <s v="390619"/>
    <s v="cccc vvvv gggg mmm "/>
    <s v="Marcus Stoinis"/>
    <x v="0"/>
    <x v="3"/>
    <n v="500"/>
    <n v="19500"/>
  </r>
  <r>
    <s v="390620"/>
    <s v="Xxx yyyy xx yyyy vvv"/>
    <s v="Alex Carey (wk)"/>
    <x v="1"/>
    <x v="4"/>
    <n v="30000"/>
    <n v="25000"/>
  </r>
  <r>
    <s v="390621"/>
    <s v="cccc vvvv gggg mmm "/>
    <s v="Pat Cummins"/>
    <x v="2"/>
    <x v="5"/>
    <n v="40000"/>
    <n v="5000"/>
  </r>
  <r>
    <s v="390622"/>
    <s v="Xxx yyyy xx yyyy vvv"/>
    <s v="David Warner"/>
    <x v="1"/>
    <x v="6"/>
    <n v="20000"/>
    <n v="-19500"/>
  </r>
  <r>
    <s v="390623"/>
    <s v="cccc vvvv gggg mmm "/>
    <s v="Usman Khawaja"/>
    <x v="2"/>
    <x v="1"/>
    <n v="50000"/>
    <n v="-20000"/>
  </r>
  <r>
    <s v="390624"/>
    <s v="Xxx yyyy xx yyyy vvv"/>
    <s v="Steve Smith"/>
    <x v="0"/>
    <x v="2"/>
    <n v="30000"/>
    <n v="10000"/>
  </r>
  <r>
    <s v="390625"/>
    <s v="cccc vvvv gggg mmm "/>
    <s v="David Warner"/>
    <x v="1"/>
    <x v="3"/>
    <n v="40000"/>
    <n v="-20000"/>
  </r>
  <r>
    <s v="390626"/>
    <s v="Xxx yyyy xx yyyy vvv"/>
    <s v="Usman Khawaja"/>
    <x v="2"/>
    <x v="3"/>
    <n v="15000"/>
    <n v="5000"/>
  </r>
  <r>
    <s v="390627"/>
    <s v="cccc vvvv gggg mmm "/>
    <s v="Aaron Finch"/>
    <x v="0"/>
    <x v="4"/>
    <n v="65000"/>
    <n v="-10000"/>
  </r>
  <r>
    <s v="390628"/>
    <s v="cccc vvvv gggg mmm "/>
    <s v="David Warner"/>
    <x v="1"/>
    <x v="5"/>
    <n v="35000"/>
    <n v="10000"/>
  </r>
  <r>
    <s v="390629"/>
    <s v="cccc vvvv gggg mmm "/>
    <s v="Usman Khawaja"/>
    <x v="2"/>
    <x v="6"/>
    <n v="1500"/>
    <n v="-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D3:AF7" firstHeaderRow="0" firstDataRow="1" firstDataCol="1"/>
  <pivotFields count="7">
    <pivotField showAll="0"/>
    <pivotField showAll="0"/>
    <pivotField showAll="0"/>
    <pivotField axis="axisRow" showAll="0">
      <items count="4">
        <item x="0"/>
        <item x="1"/>
        <item x="2"/>
        <item t="default"/>
      </items>
    </pivotField>
    <pivotField dataField="1" numFmtId="164" showAll="0">
      <items count="8">
        <item x="6"/>
        <item x="3"/>
        <item x="1"/>
        <item x="2"/>
        <item x="5"/>
        <item x="0"/>
        <item x="4"/>
        <item t="default"/>
      </items>
    </pivotField>
    <pivotField dataField="1" numFmtId="164" showAll="0"/>
    <pivotField numFmtId="164" showAll="0"/>
  </pivotFields>
  <rowFields count="1">
    <field x="3"/>
  </rowFields>
  <rowItems count="4">
    <i>
      <x/>
    </i>
    <i>
      <x v="1"/>
    </i>
    <i>
      <x v="2"/>
    </i>
    <i t="grand">
      <x/>
    </i>
  </rowItems>
  <colFields count="1">
    <field x="-2"/>
  </colFields>
  <colItems count="2">
    <i>
      <x/>
    </i>
    <i i="1">
      <x v="1"/>
    </i>
  </colItems>
  <dataFields count="2">
    <dataField name="Sum of Budget" fld="4" baseField="0" baseItem="0"/>
    <dataField name="Sum of Budget Utilize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B5:C13" firstHeaderRow="1" firstDataRow="1" firstDataCol="1"/>
  <pivotFields count="11">
    <pivotField dataField="1" showAll="0"/>
    <pivotField showAll="0"/>
    <pivotField showAll="0">
      <items count="16">
        <item x="0"/>
        <item x="11"/>
        <item x="7"/>
        <item x="1"/>
        <item x="5"/>
        <item x="12"/>
        <item x="14"/>
        <item x="6"/>
        <item x="9"/>
        <item x="13"/>
        <item x="10"/>
        <item x="8"/>
        <item x="4"/>
        <item x="3"/>
        <item x="2"/>
        <item t="default"/>
      </items>
    </pivotField>
    <pivotField showAll="0"/>
    <pivotField showAll="0"/>
    <pivotField axis="axisRow" showAll="0">
      <items count="8">
        <item x="1"/>
        <item x="3"/>
        <item x="4"/>
        <item x="5"/>
        <item x="0"/>
        <item x="6"/>
        <item x="2"/>
        <item t="default"/>
      </items>
    </pivotField>
    <pivotField showAll="0">
      <items count="3">
        <item x="0"/>
        <item h="1" x="1"/>
        <item t="default"/>
      </items>
    </pivotField>
    <pivotField numFmtId="165" showAll="0"/>
    <pivotField numFmtId="165" showAll="0"/>
    <pivotField numFmtId="165" showAll="0"/>
    <pivotField showAll="0"/>
  </pivotFields>
  <rowFields count="1">
    <field x="5"/>
  </rowFields>
  <rowItems count="8">
    <i>
      <x/>
    </i>
    <i>
      <x v="1"/>
    </i>
    <i>
      <x v="2"/>
    </i>
    <i>
      <x v="3"/>
    </i>
    <i>
      <x v="4"/>
    </i>
    <i>
      <x v="5"/>
    </i>
    <i>
      <x v="6"/>
    </i>
    <i t="grand">
      <x/>
    </i>
  </rowItems>
  <colItems count="1">
    <i/>
  </colItems>
  <dataFields count="1">
    <dataField name="Count of Project ID" fld="0" subtotal="count" baseField="5"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1"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C4:I10" firstHeaderRow="1" firstDataRow="3" firstDataCol="1"/>
  <pivotFields count="11">
    <pivotField showAll="0"/>
    <pivotField showAll="0"/>
    <pivotField axis="axisRow" showAll="0">
      <items count="16">
        <item x="0"/>
        <item x="11"/>
        <item x="7"/>
        <item x="1"/>
        <item x="5"/>
        <item x="12"/>
        <item x="14"/>
        <item x="6"/>
        <item x="9"/>
        <item x="13"/>
        <item x="10"/>
        <item x="8"/>
        <item x="4"/>
        <item x="3"/>
        <item x="2"/>
        <item t="default"/>
      </items>
    </pivotField>
    <pivotField axis="axisRow" showAll="0">
      <items count="4">
        <item sd="0" x="0"/>
        <item sd="0" x="1"/>
        <item sd="0" x="2"/>
        <item t="default"/>
      </items>
    </pivotField>
    <pivotField showAll="0"/>
    <pivotField showAll="0"/>
    <pivotField numFmtId="165" showAll="0"/>
    <pivotField numFmtId="165" showAll="0"/>
    <pivotField numFmtId="165" showAll="0"/>
    <pivotField numFmtId="1" showAll="0"/>
    <pivotField axis="axisCol" dataField="1" showAll="0">
      <items count="3">
        <item x="0"/>
        <item x="1"/>
        <item t="default"/>
      </items>
    </pivotField>
  </pivotFields>
  <rowFields count="2">
    <field x="3"/>
    <field x="2"/>
  </rowFields>
  <rowItems count="4">
    <i>
      <x/>
    </i>
    <i>
      <x v="1"/>
    </i>
    <i>
      <x v="2"/>
    </i>
    <i t="grand">
      <x/>
    </i>
  </rowItems>
  <colFields count="2">
    <field x="10"/>
    <field x="-2"/>
  </colFields>
  <colItems count="6">
    <i>
      <x/>
      <x/>
    </i>
    <i r="1" i="1">
      <x v="1"/>
    </i>
    <i>
      <x v="1"/>
      <x/>
    </i>
    <i r="1" i="1">
      <x v="1"/>
    </i>
    <i t="grand">
      <x/>
    </i>
    <i t="grand" i="1">
      <x/>
    </i>
  </colItems>
  <dataFields count="2">
    <dataField name="Projects" fld="10" subtotal="count" baseField="3" baseItem="0"/>
    <dataField name="Count of Exception Check2" fld="10" subtotal="count" showDataAs="percentOfRow" baseField="0" baseItem="0" numFmtId="10"/>
  </dataFields>
  <formats count="15">
    <format dxfId="14">
      <pivotArea dataOnly="0" labelOnly="1" fieldPosition="0">
        <references count="1">
          <reference field="10" count="1">
            <x v="0"/>
          </reference>
        </references>
      </pivotArea>
    </format>
    <format dxfId="13">
      <pivotArea dataOnly="0" labelOnly="1" fieldPosition="0">
        <references count="1">
          <reference field="10" count="1">
            <x v="1"/>
          </reference>
        </references>
      </pivotArea>
    </format>
    <format dxfId="12">
      <pivotArea outline="0" collapsedLevelsAreSubtotals="1" fieldPosition="0">
        <references count="2">
          <reference field="4294967294" count="2" selected="0">
            <x v="0"/>
            <x v="1"/>
          </reference>
          <reference field="10" count="0" selected="0"/>
        </references>
      </pivotArea>
    </format>
    <format dxfId="11">
      <pivotArea field="10" grandCol="1" outline="0" collapsedLevelsAreSubtotals="1" axis="axisCol" fieldPosition="0">
        <references count="1">
          <reference field="4294967294" count="1" selected="0">
            <x v="0"/>
          </reference>
        </references>
      </pivotArea>
    </format>
    <format dxfId="10">
      <pivotArea outline="0" collapsedLevelsAreSubtotals="1" fieldPosition="0">
        <references count="2">
          <reference field="4294967294" count="2" selected="0">
            <x v="0"/>
            <x v="1"/>
          </reference>
          <reference field="10" count="0" selected="0"/>
        </references>
      </pivotArea>
    </format>
    <format dxfId="9">
      <pivotArea field="10" grandCol="1" outline="0" collapsedLevelsAreSubtotals="1" axis="axisCol" fieldPosition="0">
        <references count="1">
          <reference field="4294967294" count="1" selected="0">
            <x v="0"/>
          </reference>
        </references>
      </pivotArea>
    </format>
    <format dxfId="8">
      <pivotArea outline="0" collapsedLevelsAreSubtotals="1" fieldPosition="0">
        <references count="2">
          <reference field="4294967294" count="2" selected="0">
            <x v="0"/>
            <x v="1"/>
          </reference>
          <reference field="10" count="0" selected="0"/>
        </references>
      </pivotArea>
    </format>
    <format dxfId="7">
      <pivotArea field="10" grandCol="1" outline="0" collapsedLevelsAreSubtotals="1" axis="axisCol" fieldPosition="0">
        <references count="1">
          <reference field="4294967294" count="1" selected="0">
            <x v="0"/>
          </reference>
        </references>
      </pivotArea>
    </format>
    <format dxfId="6">
      <pivotArea dataOnly="0" labelOnly="1" fieldPosition="0">
        <references count="1">
          <reference field="3" count="0"/>
        </references>
      </pivotArea>
    </format>
    <format dxfId="5">
      <pivotArea dataOnly="0" labelOnly="1" grandRow="1" outline="0" fieldPosition="0"/>
    </format>
    <format dxfId="4">
      <pivotArea dataOnly="0" labelOnly="1" fieldPosition="0">
        <references count="1">
          <reference field="10" count="0"/>
        </references>
      </pivotArea>
    </format>
    <format dxfId="3">
      <pivotArea field="10" dataOnly="0" labelOnly="1" grandCol="1" outline="0" axis="axisCol" fieldPosition="0">
        <references count="1">
          <reference field="4294967294" count="1" selected="0">
            <x v="0"/>
          </reference>
        </references>
      </pivotArea>
    </format>
    <format dxfId="2">
      <pivotArea field="10" dataOnly="0" labelOnly="1" grandCol="1" outline="0" axis="axisCol" fieldPosition="0">
        <references count="1">
          <reference field="4294967294" count="1" selected="0">
            <x v="1"/>
          </reference>
        </references>
      </pivotArea>
    </format>
    <format dxfId="1">
      <pivotArea dataOnly="0" labelOnly="1" outline="0" fieldPosition="0">
        <references count="2">
          <reference field="4294967294" count="2">
            <x v="0"/>
            <x v="1"/>
          </reference>
          <reference field="10" count="1" selected="0">
            <x v="0"/>
          </reference>
        </references>
      </pivotArea>
    </format>
    <format dxfId="0">
      <pivotArea dataOnly="0" labelOnly="1" outline="0" fieldPosition="0">
        <references count="2">
          <reference field="4294967294" count="2">
            <x v="0"/>
            <x v="1"/>
          </reference>
          <reference field="10"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Manager" xr10:uid="{00000000-0013-0000-FFFF-FFFF01000000}" sourceName="Project Manager">
  <pivotTables>
    <pivotTable tabId="12" name="PivotTable1"/>
  </pivotTables>
  <data>
    <tabular pivotCacheId="1">
      <items count="15">
        <i x="0" s="1"/>
        <i x="11" s="1"/>
        <i x="7" s="1"/>
        <i x="1" s="1"/>
        <i x="5" s="1"/>
        <i x="12" s="1"/>
        <i x="14" s="1"/>
        <i x="6" s="1"/>
        <i x="9" s="1"/>
        <i x="13" s="1"/>
        <i x="10" s="1"/>
        <i x="8" s="1"/>
        <i x="4"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tatus" xr10:uid="{00000000-0013-0000-FFFF-FFFF02000000}" sourceName="Project Status">
  <pivotTables>
    <pivotTable tabId="12" name="PivotTable1"/>
  </pivotTables>
  <data>
    <tabular pivotCacheId="1">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Manager" xr10:uid="{00000000-0014-0000-FFFF-FFFF01000000}" cache="Slicer_Project_Manager" caption="Project Manager" rowHeight="241300"/>
  <slicer name="Project Status" xr10:uid="{00000000-0014-0000-FFFF-FFFF02000000}" cache="Slicer_Project_Status" caption="Project Statu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control" Target="../activeX/activeX2.xml"/><Relationship Id="rId5" Type="http://schemas.openxmlformats.org/officeDocument/2006/relationships/image" Target="../media/image6.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8.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R25"/>
  <sheetViews>
    <sheetView showGridLines="0" workbookViewId="0">
      <selection activeCell="F30" sqref="F30"/>
    </sheetView>
  </sheetViews>
  <sheetFormatPr defaultRowHeight="15" x14ac:dyDescent="0.25"/>
  <cols>
    <col min="1" max="1" width="5" customWidth="1"/>
    <col min="2" max="2" width="1.28515625" customWidth="1"/>
    <col min="3" max="3" width="17.5703125" customWidth="1"/>
    <col min="4" max="4" width="20.28515625" customWidth="1"/>
    <col min="5" max="5" width="0.85546875" customWidth="1"/>
    <col min="6" max="6" width="39.42578125" customWidth="1"/>
    <col min="8" max="9" width="10.5703125" bestFit="1" customWidth="1"/>
    <col min="11" max="11" width="1" customWidth="1"/>
    <col min="12" max="12" width="10.28515625" customWidth="1"/>
    <col min="13" max="13" width="2.28515625" customWidth="1"/>
    <col min="15" max="15" width="11.140625" bestFit="1" customWidth="1"/>
    <col min="17" max="17" width="10.140625" bestFit="1" customWidth="1"/>
    <col min="18" max="18" width="9.5703125" customWidth="1"/>
  </cols>
  <sheetData>
    <row r="1" spans="2:18" ht="15.75" thickBot="1" x14ac:dyDescent="0.3"/>
    <row r="2" spans="2:18" ht="7.5" customHeight="1" thickBot="1" x14ac:dyDescent="0.3">
      <c r="B2" s="77"/>
      <c r="C2" s="78"/>
      <c r="D2" s="78"/>
      <c r="E2" s="78"/>
      <c r="F2" s="78"/>
      <c r="G2" s="78"/>
      <c r="H2" s="78"/>
      <c r="I2" s="78"/>
      <c r="J2" s="78"/>
      <c r="K2" s="79"/>
    </row>
    <row r="3" spans="2:18" ht="16.5" thickBot="1" x14ac:dyDescent="0.3">
      <c r="B3" s="16"/>
      <c r="C3" s="37"/>
      <c r="D3" s="38"/>
      <c r="E3" s="17"/>
      <c r="F3" s="124" t="s">
        <v>212</v>
      </c>
      <c r="G3" s="125"/>
      <c r="H3" s="125"/>
      <c r="I3" s="125"/>
      <c r="J3" s="126"/>
      <c r="K3" s="18"/>
      <c r="L3" s="26" t="s">
        <v>45</v>
      </c>
    </row>
    <row r="4" spans="2:18" ht="21.75" customHeight="1" thickBot="1" x14ac:dyDescent="0.3">
      <c r="B4" s="16"/>
      <c r="C4" s="4"/>
      <c r="D4" s="5"/>
      <c r="E4" s="17"/>
      <c r="F4" s="53" t="s">
        <v>200</v>
      </c>
      <c r="G4" s="9"/>
      <c r="H4" s="10" t="s">
        <v>31</v>
      </c>
      <c r="I4" s="10" t="s">
        <v>32</v>
      </c>
      <c r="J4" s="11" t="s">
        <v>33</v>
      </c>
      <c r="K4" s="18"/>
      <c r="L4" s="27"/>
      <c r="N4" s="127" t="s">
        <v>51</v>
      </c>
      <c r="O4" s="128"/>
      <c r="P4" s="128"/>
      <c r="Q4" s="128"/>
      <c r="R4" s="129"/>
    </row>
    <row r="5" spans="2:18" ht="15.75" thickBot="1" x14ac:dyDescent="0.3">
      <c r="B5" s="16"/>
      <c r="C5" s="139" t="s">
        <v>211</v>
      </c>
      <c r="D5" s="140"/>
      <c r="E5" s="17"/>
      <c r="F5" s="141" t="s">
        <v>78</v>
      </c>
      <c r="G5" s="142"/>
      <c r="H5" s="142"/>
      <c r="I5" s="142"/>
      <c r="J5" s="143"/>
      <c r="K5" s="18"/>
      <c r="L5" s="49">
        <v>0.4</v>
      </c>
      <c r="N5" s="32"/>
      <c r="O5" s="54" t="s">
        <v>46</v>
      </c>
      <c r="P5" s="54" t="s">
        <v>76</v>
      </c>
      <c r="Q5" s="54" t="s">
        <v>47</v>
      </c>
      <c r="R5" s="103" t="s">
        <v>77</v>
      </c>
    </row>
    <row r="6" spans="2:18" x14ac:dyDescent="0.25">
      <c r="B6" s="16"/>
      <c r="C6" s="4"/>
      <c r="D6" s="5"/>
      <c r="E6" s="17"/>
      <c r="F6" s="12" t="s">
        <v>34</v>
      </c>
      <c r="G6" s="13"/>
      <c r="H6" s="35">
        <v>0.55169999999999997</v>
      </c>
      <c r="I6" s="35">
        <v>0.57579999999999998</v>
      </c>
      <c r="J6" s="36">
        <v>0.56759999999999999</v>
      </c>
      <c r="K6" s="18"/>
      <c r="L6" s="28">
        <v>0.34</v>
      </c>
      <c r="N6" s="32" t="s">
        <v>31</v>
      </c>
      <c r="O6" s="50">
        <f>(H6*L6)+(H7*L7)+(H8*L8)</f>
        <v>0.76507799999999992</v>
      </c>
      <c r="P6" s="8">
        <f>(H10*L10)+(H12*L12)+(H13*L13)+(H14*L14)+(H15*L15)+(H16*L16)+(H17*L17)</f>
        <v>0.73640000000000005</v>
      </c>
      <c r="Q6" s="8">
        <f>(H19*L19)+(H20*L20)+(H22*L22)+(H23*L23)</f>
        <v>0.72975000000000001</v>
      </c>
      <c r="R6" s="104">
        <f>(O6*L5)+(P6*L9)+(Q6*L18)</f>
        <v>0.74654120000000002</v>
      </c>
    </row>
    <row r="7" spans="2:18" x14ac:dyDescent="0.25">
      <c r="B7" s="16"/>
      <c r="C7" s="69" t="s">
        <v>31</v>
      </c>
      <c r="D7" s="71">
        <v>0.74650000000000005</v>
      </c>
      <c r="E7" s="17"/>
      <c r="F7" s="12" t="s">
        <v>58</v>
      </c>
      <c r="G7" s="13"/>
      <c r="H7" s="35">
        <v>1</v>
      </c>
      <c r="I7" s="35">
        <v>0.99</v>
      </c>
      <c r="J7" s="36">
        <v>1</v>
      </c>
      <c r="K7" s="18"/>
      <c r="L7" s="28">
        <v>0.33</v>
      </c>
      <c r="N7" s="33" t="s">
        <v>32</v>
      </c>
      <c r="O7" s="51">
        <v>0.95</v>
      </c>
      <c r="P7" s="51">
        <v>0.81599999999999995</v>
      </c>
      <c r="Q7" s="51">
        <v>0.58040000000000003</v>
      </c>
      <c r="R7" s="105">
        <v>0.82299999999999995</v>
      </c>
    </row>
    <row r="8" spans="2:18" ht="15.75" thickBot="1" x14ac:dyDescent="0.3">
      <c r="B8" s="16"/>
      <c r="C8" s="4"/>
      <c r="D8" s="72"/>
      <c r="E8" s="17"/>
      <c r="F8" s="12" t="s">
        <v>59</v>
      </c>
      <c r="G8" s="13"/>
      <c r="H8" s="35">
        <v>0.75</v>
      </c>
      <c r="I8" s="35">
        <v>0.99</v>
      </c>
      <c r="J8" s="36">
        <v>0.86</v>
      </c>
      <c r="K8" s="18"/>
      <c r="L8" s="28">
        <v>0.33</v>
      </c>
      <c r="N8" s="34" t="s">
        <v>33</v>
      </c>
      <c r="O8" s="52">
        <v>0.9</v>
      </c>
      <c r="P8" s="52">
        <v>0.73099999999999998</v>
      </c>
      <c r="Q8" s="52">
        <v>0.64119999999999999</v>
      </c>
      <c r="R8" s="106">
        <v>0.78</v>
      </c>
    </row>
    <row r="9" spans="2:18" ht="15.75" thickBot="1" x14ac:dyDescent="0.3">
      <c r="B9" s="16"/>
      <c r="C9" s="4"/>
      <c r="D9" s="72"/>
      <c r="E9" s="17"/>
      <c r="F9" s="141" t="s">
        <v>197</v>
      </c>
      <c r="G9" s="142"/>
      <c r="H9" s="142"/>
      <c r="I9" s="142"/>
      <c r="J9" s="143"/>
      <c r="K9" s="18"/>
      <c r="L9" s="49">
        <v>0.4</v>
      </c>
    </row>
    <row r="10" spans="2:18" x14ac:dyDescent="0.25">
      <c r="B10" s="16"/>
      <c r="C10" s="70" t="s">
        <v>32</v>
      </c>
      <c r="D10" s="71">
        <v>0.82299999999999995</v>
      </c>
      <c r="E10" s="17"/>
      <c r="F10" s="14" t="s">
        <v>91</v>
      </c>
      <c r="G10" s="15"/>
      <c r="H10" s="41">
        <v>0.75</v>
      </c>
      <c r="I10" s="41">
        <v>0.5</v>
      </c>
      <c r="J10" s="42">
        <v>0.54400000000000004</v>
      </c>
      <c r="K10" s="18"/>
      <c r="L10" s="29">
        <v>0.2</v>
      </c>
    </row>
    <row r="11" spans="2:18" x14ac:dyDescent="0.25">
      <c r="B11" s="16"/>
      <c r="C11" s="4"/>
      <c r="D11" s="72"/>
      <c r="E11" s="17"/>
      <c r="F11" s="14" t="s">
        <v>48</v>
      </c>
      <c r="G11" s="15"/>
      <c r="H11" s="43">
        <v>5632</v>
      </c>
      <c r="I11" s="43">
        <v>7892</v>
      </c>
      <c r="J11" s="44">
        <v>653</v>
      </c>
      <c r="K11" s="18"/>
      <c r="L11" s="30" t="s">
        <v>50</v>
      </c>
    </row>
    <row r="12" spans="2:18" x14ac:dyDescent="0.25">
      <c r="B12" s="16"/>
      <c r="C12" s="4"/>
      <c r="D12" s="72"/>
      <c r="E12" s="17"/>
      <c r="F12" s="14" t="s">
        <v>35</v>
      </c>
      <c r="G12" s="15"/>
      <c r="H12" s="41">
        <v>0.25</v>
      </c>
      <c r="I12" s="41">
        <v>0.57899999999999996</v>
      </c>
      <c r="J12" s="42">
        <v>0.55600000000000005</v>
      </c>
      <c r="K12" s="18"/>
      <c r="L12" s="29">
        <v>0.25</v>
      </c>
    </row>
    <row r="13" spans="2:18" x14ac:dyDescent="0.25">
      <c r="B13" s="16"/>
      <c r="C13" s="70" t="s">
        <v>33</v>
      </c>
      <c r="D13" s="71">
        <v>0.78</v>
      </c>
      <c r="E13" s="17"/>
      <c r="F13" s="14" t="s">
        <v>87</v>
      </c>
      <c r="G13" s="15"/>
      <c r="H13" s="41">
        <v>1</v>
      </c>
      <c r="I13" s="41">
        <v>0.99</v>
      </c>
      <c r="J13" s="42">
        <v>0.86</v>
      </c>
      <c r="K13" s="18"/>
      <c r="L13" s="29">
        <v>0.25</v>
      </c>
    </row>
    <row r="14" spans="2:18" x14ac:dyDescent="0.25">
      <c r="B14" s="16"/>
      <c r="C14" s="39"/>
      <c r="D14" s="40"/>
      <c r="E14" s="17"/>
      <c r="F14" s="14" t="s">
        <v>36</v>
      </c>
      <c r="G14" s="15"/>
      <c r="H14" s="41">
        <v>0.92300000000000004</v>
      </c>
      <c r="I14" s="41">
        <v>0.86599999999999999</v>
      </c>
      <c r="J14" s="42">
        <v>0.63300000000000001</v>
      </c>
      <c r="K14" s="18"/>
      <c r="L14" s="29">
        <v>0.15</v>
      </c>
    </row>
    <row r="15" spans="2:18" x14ac:dyDescent="0.25">
      <c r="B15" s="16"/>
      <c r="C15" s="17"/>
      <c r="D15" s="17"/>
      <c r="E15" s="17"/>
      <c r="F15" s="14" t="s">
        <v>37</v>
      </c>
      <c r="G15" s="15"/>
      <c r="H15" s="41">
        <v>0.90900000000000003</v>
      </c>
      <c r="I15" s="41">
        <v>0.81299999999999994</v>
      </c>
      <c r="J15" s="42">
        <v>1</v>
      </c>
      <c r="K15" s="18"/>
      <c r="L15" s="29">
        <v>0.05</v>
      </c>
      <c r="O15" s="130" t="s">
        <v>198</v>
      </c>
      <c r="P15" s="131"/>
      <c r="Q15" s="131"/>
      <c r="R15" s="132"/>
    </row>
    <row r="16" spans="2:18" x14ac:dyDescent="0.25">
      <c r="B16" s="16"/>
      <c r="C16" s="17"/>
      <c r="D16" s="17"/>
      <c r="E16" s="107"/>
      <c r="F16" s="14" t="s">
        <v>38</v>
      </c>
      <c r="G16" s="15"/>
      <c r="H16" s="41">
        <v>1</v>
      </c>
      <c r="I16" s="41">
        <v>0.96399999999999997</v>
      </c>
      <c r="J16" s="42">
        <v>1</v>
      </c>
      <c r="K16" s="18"/>
      <c r="L16" s="29">
        <v>0.05</v>
      </c>
      <c r="O16" s="133"/>
      <c r="P16" s="134"/>
      <c r="Q16" s="134"/>
      <c r="R16" s="135"/>
    </row>
    <row r="17" spans="2:18" ht="15.75" thickBot="1" x14ac:dyDescent="0.3">
      <c r="B17" s="16"/>
      <c r="E17" s="107"/>
      <c r="F17" s="14" t="s">
        <v>39</v>
      </c>
      <c r="G17" s="15"/>
      <c r="H17" s="41">
        <v>0.8</v>
      </c>
      <c r="I17" s="41">
        <v>1</v>
      </c>
      <c r="J17" s="42">
        <v>0.99299999999999999</v>
      </c>
      <c r="K17" s="18"/>
      <c r="L17" s="29">
        <v>0.05</v>
      </c>
      <c r="O17" s="133"/>
      <c r="P17" s="134"/>
      <c r="Q17" s="134"/>
      <c r="R17" s="135"/>
    </row>
    <row r="18" spans="2:18" ht="15.75" thickBot="1" x14ac:dyDescent="0.3">
      <c r="B18" s="16"/>
      <c r="E18" s="107"/>
      <c r="F18" s="141" t="s">
        <v>47</v>
      </c>
      <c r="G18" s="142"/>
      <c r="H18" s="142"/>
      <c r="I18" s="142"/>
      <c r="J18" s="143"/>
      <c r="K18" s="18"/>
      <c r="L18" s="49">
        <v>0.2</v>
      </c>
      <c r="O18" s="133"/>
      <c r="P18" s="134"/>
      <c r="Q18" s="134"/>
      <c r="R18" s="135"/>
    </row>
    <row r="19" spans="2:18" x14ac:dyDescent="0.25">
      <c r="B19" s="16"/>
      <c r="E19" s="107"/>
      <c r="F19" s="22" t="s">
        <v>40</v>
      </c>
      <c r="G19" s="23"/>
      <c r="H19" s="45">
        <v>1</v>
      </c>
      <c r="I19" s="45">
        <v>0.86599999999999999</v>
      </c>
      <c r="J19" s="46">
        <v>1</v>
      </c>
      <c r="K19" s="18"/>
      <c r="L19" s="29">
        <v>0.25</v>
      </c>
      <c r="O19" s="133"/>
      <c r="P19" s="134"/>
      <c r="Q19" s="134"/>
      <c r="R19" s="135"/>
    </row>
    <row r="20" spans="2:18" x14ac:dyDescent="0.25">
      <c r="B20" s="16"/>
      <c r="E20" s="107"/>
      <c r="F20" s="22" t="s">
        <v>49</v>
      </c>
      <c r="G20" s="23"/>
      <c r="H20" s="45">
        <v>0.91900000000000004</v>
      </c>
      <c r="I20" s="45">
        <v>0.93700000000000006</v>
      </c>
      <c r="J20" s="46">
        <v>0.91300000000000003</v>
      </c>
      <c r="K20" s="18"/>
      <c r="L20" s="29">
        <v>0.25</v>
      </c>
      <c r="O20" s="136"/>
      <c r="P20" s="137"/>
      <c r="Q20" s="137"/>
      <c r="R20" s="138"/>
    </row>
    <row r="21" spans="2:18" x14ac:dyDescent="0.25">
      <c r="B21" s="16"/>
      <c r="E21" s="107"/>
      <c r="F21" s="22" t="s">
        <v>41</v>
      </c>
      <c r="G21" s="23"/>
      <c r="H21" s="45">
        <v>0.89</v>
      </c>
      <c r="I21" s="45">
        <v>0.63</v>
      </c>
      <c r="J21" s="46">
        <v>1</v>
      </c>
      <c r="K21" s="18"/>
      <c r="L21" s="29">
        <v>0.05</v>
      </c>
    </row>
    <row r="22" spans="2:18" x14ac:dyDescent="0.25">
      <c r="B22" s="16"/>
      <c r="E22" s="107"/>
      <c r="F22" s="22" t="s">
        <v>42</v>
      </c>
      <c r="G22" s="23"/>
      <c r="H22" s="45">
        <v>0</v>
      </c>
      <c r="I22" s="45">
        <v>0</v>
      </c>
      <c r="J22" s="46">
        <v>0</v>
      </c>
      <c r="K22" s="18"/>
      <c r="L22" s="29">
        <v>0.2</v>
      </c>
    </row>
    <row r="23" spans="2:18" x14ac:dyDescent="0.25">
      <c r="B23" s="16"/>
      <c r="E23" s="107"/>
      <c r="F23" s="22" t="s">
        <v>43</v>
      </c>
      <c r="G23" s="23"/>
      <c r="H23" s="45">
        <v>1</v>
      </c>
      <c r="I23" s="45">
        <v>0.99</v>
      </c>
      <c r="J23" s="46">
        <v>0.97</v>
      </c>
      <c r="K23" s="18"/>
      <c r="L23" s="29">
        <v>0.25</v>
      </c>
    </row>
    <row r="24" spans="2:18" ht="15.75" thickBot="1" x14ac:dyDescent="0.3">
      <c r="B24" s="16"/>
      <c r="E24" s="107"/>
      <c r="F24" s="24" t="s">
        <v>44</v>
      </c>
      <c r="G24" s="25"/>
      <c r="H24" s="47">
        <v>45</v>
      </c>
      <c r="I24" s="47">
        <v>53</v>
      </c>
      <c r="J24" s="48">
        <v>20</v>
      </c>
      <c r="K24" s="18"/>
      <c r="L24" s="31"/>
    </row>
    <row r="25" spans="2:18" ht="6" customHeight="1" thickBot="1" x14ac:dyDescent="0.3">
      <c r="B25" s="19"/>
      <c r="C25" s="20"/>
      <c r="D25" s="20"/>
      <c r="E25" s="20"/>
      <c r="F25" s="20"/>
      <c r="G25" s="20"/>
      <c r="H25" s="20"/>
      <c r="I25" s="20"/>
      <c r="J25" s="20"/>
      <c r="K25" s="21"/>
    </row>
  </sheetData>
  <mergeCells count="7">
    <mergeCell ref="F3:J3"/>
    <mergeCell ref="N4:R4"/>
    <mergeCell ref="O15:R20"/>
    <mergeCell ref="C5:D5"/>
    <mergeCell ref="F5:J5"/>
    <mergeCell ref="F9:J9"/>
    <mergeCell ref="F18:J1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AF143"/>
  <sheetViews>
    <sheetView workbookViewId="0">
      <selection activeCell="M27" sqref="M27"/>
    </sheetView>
  </sheetViews>
  <sheetFormatPr defaultRowHeight="15" x14ac:dyDescent="0.25"/>
  <cols>
    <col min="2" max="2" width="22.85546875" customWidth="1"/>
    <col min="3" max="3" width="18" customWidth="1"/>
    <col min="4" max="4" width="14.7109375" customWidth="1"/>
    <col min="5" max="5" width="17" customWidth="1"/>
    <col min="6" max="6" width="15.28515625" customWidth="1"/>
    <col min="7" max="9" width="9.140625" customWidth="1"/>
    <col min="22" max="22" width="23.85546875" customWidth="1"/>
    <col min="23" max="24" width="21.42578125" customWidth="1"/>
    <col min="25" max="25" width="11.5703125" bestFit="1" customWidth="1"/>
    <col min="26" max="26" width="18.7109375" customWidth="1"/>
    <col min="27" max="27" width="13" customWidth="1"/>
    <col min="30" max="30" width="16.28515625" customWidth="1"/>
    <col min="31" max="31" width="14" customWidth="1"/>
    <col min="32" max="32" width="21.7109375" bestFit="1" customWidth="1"/>
    <col min="33" max="37" width="11.5703125" bestFit="1" customWidth="1"/>
    <col min="38" max="38" width="12.7109375" bestFit="1" customWidth="1"/>
  </cols>
  <sheetData>
    <row r="1" spans="2:32" ht="15.75" x14ac:dyDescent="0.25">
      <c r="U1" s="81" t="s">
        <v>0</v>
      </c>
      <c r="V1" s="81" t="s">
        <v>52</v>
      </c>
      <c r="W1" s="81" t="s">
        <v>53</v>
      </c>
      <c r="X1" s="81" t="s">
        <v>201</v>
      </c>
      <c r="Y1" s="81" t="s">
        <v>93</v>
      </c>
      <c r="Z1" s="81" t="s">
        <v>94</v>
      </c>
      <c r="AA1" s="81" t="s">
        <v>95</v>
      </c>
    </row>
    <row r="2" spans="2:32" x14ac:dyDescent="0.25">
      <c r="B2" s="144" t="s">
        <v>204</v>
      </c>
      <c r="C2" s="145"/>
      <c r="D2" s="145"/>
      <c r="E2" s="146"/>
      <c r="U2" t="s">
        <v>105</v>
      </c>
      <c r="V2" t="s">
        <v>6</v>
      </c>
      <c r="W2" t="s">
        <v>12</v>
      </c>
      <c r="X2" t="s">
        <v>31</v>
      </c>
      <c r="Y2" s="96">
        <v>50000</v>
      </c>
      <c r="Z2" s="96">
        <v>20000</v>
      </c>
      <c r="AA2" s="97">
        <f>Y2-Z2</f>
        <v>30000</v>
      </c>
    </row>
    <row r="3" spans="2:32" x14ac:dyDescent="0.25">
      <c r="L3" s="147" t="s">
        <v>210</v>
      </c>
      <c r="M3" s="148"/>
      <c r="N3" s="148"/>
      <c r="O3" s="148"/>
      <c r="P3" s="149"/>
      <c r="U3" t="s">
        <v>106</v>
      </c>
      <c r="V3" t="s">
        <v>7</v>
      </c>
      <c r="W3" t="s">
        <v>13</v>
      </c>
      <c r="X3" t="s">
        <v>32</v>
      </c>
      <c r="Y3" s="96">
        <v>30000</v>
      </c>
      <c r="Z3" s="96">
        <v>55000</v>
      </c>
      <c r="AA3" s="97">
        <f t="shared" ref="AA3:AA66" si="0">Y3-Z3</f>
        <v>-25000</v>
      </c>
      <c r="AD3" s="7" t="s">
        <v>67</v>
      </c>
      <c r="AE3" t="s">
        <v>202</v>
      </c>
      <c r="AF3" t="s">
        <v>203</v>
      </c>
    </row>
    <row r="4" spans="2:32" ht="15.75" x14ac:dyDescent="0.25">
      <c r="B4" s="101" t="s">
        <v>196</v>
      </c>
      <c r="G4" s="100" t="s">
        <v>118</v>
      </c>
      <c r="I4" t="str">
        <f>G4</f>
        <v>390547</v>
      </c>
      <c r="L4" s="150"/>
      <c r="M4" s="151"/>
      <c r="N4" s="151"/>
      <c r="O4" s="151"/>
      <c r="P4" s="152"/>
      <c r="U4" t="s">
        <v>107</v>
      </c>
      <c r="V4" t="s">
        <v>6</v>
      </c>
      <c r="W4" t="s">
        <v>14</v>
      </c>
      <c r="X4" t="s">
        <v>33</v>
      </c>
      <c r="Y4" s="96">
        <v>40000</v>
      </c>
      <c r="Z4" s="96">
        <v>45000</v>
      </c>
      <c r="AA4" s="97">
        <f t="shared" si="0"/>
        <v>-5000</v>
      </c>
      <c r="AD4" s="92" t="s">
        <v>31</v>
      </c>
      <c r="AE4">
        <v>946000</v>
      </c>
      <c r="AF4">
        <v>925500</v>
      </c>
    </row>
    <row r="5" spans="2:32" x14ac:dyDescent="0.25">
      <c r="U5" t="s">
        <v>97</v>
      </c>
      <c r="V5" t="s">
        <v>7</v>
      </c>
      <c r="W5" t="s">
        <v>15</v>
      </c>
      <c r="X5" t="s">
        <v>31</v>
      </c>
      <c r="Y5" s="96">
        <v>20000</v>
      </c>
      <c r="Z5" s="96">
        <v>500</v>
      </c>
      <c r="AA5" s="97">
        <f t="shared" si="0"/>
        <v>19500</v>
      </c>
      <c r="AD5" s="92" t="s">
        <v>32</v>
      </c>
      <c r="AE5">
        <v>1032500</v>
      </c>
      <c r="AF5">
        <v>977500</v>
      </c>
    </row>
    <row r="6" spans="2:32" x14ac:dyDescent="0.25">
      <c r="U6" t="s">
        <v>108</v>
      </c>
      <c r="V6" t="s">
        <v>6</v>
      </c>
      <c r="W6" t="s">
        <v>16</v>
      </c>
      <c r="X6" t="s">
        <v>32</v>
      </c>
      <c r="Y6" s="96">
        <v>55000</v>
      </c>
      <c r="Z6" s="96">
        <v>30000</v>
      </c>
      <c r="AA6" s="97">
        <f t="shared" si="0"/>
        <v>25000</v>
      </c>
      <c r="AD6" s="92" t="s">
        <v>33</v>
      </c>
      <c r="AE6">
        <v>1073500</v>
      </c>
      <c r="AF6">
        <v>1129000</v>
      </c>
    </row>
    <row r="7" spans="2:32" ht="24.75" customHeight="1" x14ac:dyDescent="0.25">
      <c r="B7" s="102" t="s">
        <v>52</v>
      </c>
      <c r="C7" s="102" t="s">
        <v>53</v>
      </c>
      <c r="D7" s="102" t="s">
        <v>93</v>
      </c>
      <c r="E7" s="102" t="s">
        <v>94</v>
      </c>
      <c r="F7" s="102" t="s">
        <v>95</v>
      </c>
      <c r="U7" t="s">
        <v>109</v>
      </c>
      <c r="V7" t="s">
        <v>7</v>
      </c>
      <c r="W7" t="s">
        <v>17</v>
      </c>
      <c r="X7" t="s">
        <v>33</v>
      </c>
      <c r="Y7" s="96">
        <v>45000</v>
      </c>
      <c r="Z7" s="96">
        <v>40000</v>
      </c>
      <c r="AA7" s="97">
        <f t="shared" si="0"/>
        <v>5000</v>
      </c>
      <c r="AD7" s="92" t="s">
        <v>68</v>
      </c>
      <c r="AE7">
        <v>3052000</v>
      </c>
      <c r="AF7">
        <v>3032000</v>
      </c>
    </row>
    <row r="8" spans="2:32" ht="21.75" customHeight="1" x14ac:dyDescent="0.25">
      <c r="B8" s="98" t="str">
        <f>VLOOKUP($G$4,$U$1:$AA$100,2,0)</f>
        <v>Xxx yyyy xx yyyy vvv</v>
      </c>
      <c r="C8" s="98" t="str">
        <f>VLOOKUP($G$4,$U$1:$AA$100,3,0)</f>
        <v>Marcus Stoinis</v>
      </c>
      <c r="D8" s="99">
        <f>VLOOKUP($G$4,$U$1:$AA$100,5,0)</f>
        <v>20000</v>
      </c>
      <c r="E8" s="99">
        <f>VLOOKUP($G$4,$U$1:$AA$100,6,0)</f>
        <v>45000</v>
      </c>
      <c r="F8" s="99">
        <f>D8-E8</f>
        <v>-25000</v>
      </c>
      <c r="U8" t="s">
        <v>110</v>
      </c>
      <c r="V8" t="s">
        <v>6</v>
      </c>
      <c r="W8" t="s">
        <v>18</v>
      </c>
      <c r="X8" t="s">
        <v>31</v>
      </c>
      <c r="Y8" s="96">
        <v>500</v>
      </c>
      <c r="Z8" s="96">
        <v>20000</v>
      </c>
      <c r="AA8" s="97">
        <f t="shared" si="0"/>
        <v>-19500</v>
      </c>
    </row>
    <row r="9" spans="2:32" x14ac:dyDescent="0.25">
      <c r="U9" t="s">
        <v>111</v>
      </c>
      <c r="V9" t="s">
        <v>7</v>
      </c>
      <c r="W9" t="s">
        <v>19</v>
      </c>
      <c r="X9" t="s">
        <v>32</v>
      </c>
      <c r="Y9" s="96">
        <v>30000</v>
      </c>
      <c r="Z9" s="96">
        <v>20000</v>
      </c>
      <c r="AA9" s="97">
        <f t="shared" si="0"/>
        <v>10000</v>
      </c>
    </row>
    <row r="10" spans="2:32" x14ac:dyDescent="0.25">
      <c r="U10" t="s">
        <v>112</v>
      </c>
      <c r="V10" t="s">
        <v>6</v>
      </c>
      <c r="W10" t="s">
        <v>20</v>
      </c>
      <c r="X10" t="s">
        <v>33</v>
      </c>
      <c r="Y10" s="96">
        <v>40000</v>
      </c>
      <c r="Z10" s="96">
        <v>55000</v>
      </c>
      <c r="AA10" s="97">
        <f t="shared" si="0"/>
        <v>-15000</v>
      </c>
      <c r="AD10" s="113" t="s">
        <v>67</v>
      </c>
      <c r="AE10" s="114" t="s">
        <v>202</v>
      </c>
      <c r="AF10" s="115" t="s">
        <v>203</v>
      </c>
    </row>
    <row r="11" spans="2:32" x14ac:dyDescent="0.25">
      <c r="B11" s="144" t="s">
        <v>205</v>
      </c>
      <c r="C11" s="145"/>
      <c r="D11" s="145"/>
      <c r="E11" s="146"/>
      <c r="U11" t="s">
        <v>98</v>
      </c>
      <c r="V11" t="s">
        <v>7</v>
      </c>
      <c r="W11" t="s">
        <v>21</v>
      </c>
      <c r="X11" t="s">
        <v>31</v>
      </c>
      <c r="Y11" s="96">
        <v>20000</v>
      </c>
      <c r="Z11" s="96">
        <v>45000</v>
      </c>
      <c r="AA11" s="97">
        <f t="shared" si="0"/>
        <v>-25000</v>
      </c>
      <c r="AD11" s="108" t="s">
        <v>207</v>
      </c>
      <c r="AE11" s="109">
        <v>946000</v>
      </c>
      <c r="AF11" s="110">
        <v>925500</v>
      </c>
    </row>
    <row r="12" spans="2:32" x14ac:dyDescent="0.25">
      <c r="G12" t="s">
        <v>209</v>
      </c>
      <c r="U12" t="s">
        <v>113</v>
      </c>
      <c r="V12" t="s">
        <v>6</v>
      </c>
      <c r="W12" t="s">
        <v>22</v>
      </c>
      <c r="X12" t="s">
        <v>32</v>
      </c>
      <c r="Y12" s="96">
        <v>20000</v>
      </c>
      <c r="Z12" s="96">
        <v>500</v>
      </c>
      <c r="AA12" s="97">
        <f t="shared" si="0"/>
        <v>19500</v>
      </c>
      <c r="AD12" s="108" t="s">
        <v>208</v>
      </c>
      <c r="AE12" s="109">
        <v>1032500</v>
      </c>
      <c r="AF12" s="110">
        <v>977500</v>
      </c>
    </row>
    <row r="13" spans="2:32" ht="15.75" x14ac:dyDescent="0.25">
      <c r="B13" s="101" t="s">
        <v>206</v>
      </c>
      <c r="U13" t="s">
        <v>114</v>
      </c>
      <c r="V13" t="s">
        <v>7</v>
      </c>
      <c r="W13" t="s">
        <v>23</v>
      </c>
      <c r="X13" t="s">
        <v>33</v>
      </c>
      <c r="Y13" s="96">
        <v>55000</v>
      </c>
      <c r="Z13" s="96">
        <v>30000</v>
      </c>
      <c r="AA13" s="97">
        <f t="shared" si="0"/>
        <v>25000</v>
      </c>
      <c r="AD13" s="108" t="s">
        <v>209</v>
      </c>
      <c r="AE13" s="109">
        <v>1073500</v>
      </c>
      <c r="AF13" s="110">
        <v>1129000</v>
      </c>
    </row>
    <row r="14" spans="2:32" x14ac:dyDescent="0.25">
      <c r="U14" t="s">
        <v>115</v>
      </c>
      <c r="V14" t="s">
        <v>6</v>
      </c>
      <c r="W14" t="s">
        <v>24</v>
      </c>
      <c r="X14" t="s">
        <v>31</v>
      </c>
      <c r="Y14" s="96">
        <v>45000</v>
      </c>
      <c r="Z14" s="96">
        <v>40000</v>
      </c>
      <c r="AA14" s="97">
        <f t="shared" si="0"/>
        <v>5000</v>
      </c>
      <c r="AD14" s="93" t="s">
        <v>68</v>
      </c>
      <c r="AE14" s="111">
        <v>3052000</v>
      </c>
      <c r="AF14" s="112">
        <v>3032000</v>
      </c>
    </row>
    <row r="15" spans="2:32" x14ac:dyDescent="0.25">
      <c r="U15" t="s">
        <v>116</v>
      </c>
      <c r="V15" t="s">
        <v>7</v>
      </c>
      <c r="W15" t="s">
        <v>25</v>
      </c>
      <c r="X15" t="s">
        <v>32</v>
      </c>
      <c r="Y15" s="96">
        <v>500</v>
      </c>
      <c r="Z15" s="96">
        <v>20000</v>
      </c>
      <c r="AA15" s="97">
        <f t="shared" si="0"/>
        <v>-19500</v>
      </c>
    </row>
    <row r="16" spans="2:32" ht="15.75" x14ac:dyDescent="0.25">
      <c r="B16" s="102" t="s">
        <v>201</v>
      </c>
      <c r="C16" s="102" t="s">
        <v>93</v>
      </c>
      <c r="D16" s="102" t="s">
        <v>94</v>
      </c>
      <c r="E16" s="102" t="s">
        <v>95</v>
      </c>
      <c r="U16" t="s">
        <v>99</v>
      </c>
      <c r="V16" t="s">
        <v>6</v>
      </c>
      <c r="W16" t="s">
        <v>26</v>
      </c>
      <c r="X16" t="s">
        <v>33</v>
      </c>
      <c r="Y16" s="96">
        <v>30000</v>
      </c>
      <c r="Z16" s="96">
        <v>20000</v>
      </c>
      <c r="AA16" s="97">
        <f t="shared" si="0"/>
        <v>10000</v>
      </c>
    </row>
    <row r="17" spans="2:27" x14ac:dyDescent="0.25">
      <c r="B17" s="98" t="str">
        <f>VLOOKUP($G$12,$AD$10:$AF$13,1,0)</f>
        <v>Steve's Portfolio</v>
      </c>
      <c r="C17" s="98">
        <f>VLOOKUP($G$12,$AD$10:$AF$13,2,0)</f>
        <v>1073500</v>
      </c>
      <c r="D17" s="98">
        <f>VLOOKUP($G$12,$AD$10:$AF$13,3,0)</f>
        <v>1129000</v>
      </c>
      <c r="E17" s="99">
        <f>C17-D17</f>
        <v>-55500</v>
      </c>
      <c r="U17" t="s">
        <v>117</v>
      </c>
      <c r="V17" t="s">
        <v>7</v>
      </c>
      <c r="W17" t="s">
        <v>17</v>
      </c>
      <c r="X17" t="s">
        <v>33</v>
      </c>
      <c r="Y17" s="96">
        <v>40000</v>
      </c>
      <c r="Z17" s="96">
        <v>55000</v>
      </c>
      <c r="AA17" s="97">
        <f t="shared" si="0"/>
        <v>-15000</v>
      </c>
    </row>
    <row r="18" spans="2:27" x14ac:dyDescent="0.25">
      <c r="U18" t="s">
        <v>118</v>
      </c>
      <c r="V18" t="s">
        <v>6</v>
      </c>
      <c r="W18" t="s">
        <v>18</v>
      </c>
      <c r="X18" t="s">
        <v>31</v>
      </c>
      <c r="Y18" s="96">
        <v>20000</v>
      </c>
      <c r="Z18" s="96">
        <v>45000</v>
      </c>
      <c r="AA18" s="97">
        <f t="shared" si="0"/>
        <v>-25000</v>
      </c>
    </row>
    <row r="19" spans="2:27" x14ac:dyDescent="0.25">
      <c r="U19" t="s">
        <v>100</v>
      </c>
      <c r="V19" t="s">
        <v>7</v>
      </c>
      <c r="W19" t="s">
        <v>19</v>
      </c>
      <c r="X19" t="s">
        <v>32</v>
      </c>
      <c r="Y19" s="96">
        <v>20000</v>
      </c>
      <c r="Z19" s="96">
        <v>500</v>
      </c>
      <c r="AA19" s="97">
        <f t="shared" si="0"/>
        <v>19500</v>
      </c>
    </row>
    <row r="20" spans="2:27" x14ac:dyDescent="0.25">
      <c r="U20" t="s">
        <v>119</v>
      </c>
      <c r="V20" t="s">
        <v>6</v>
      </c>
      <c r="W20" t="s">
        <v>20</v>
      </c>
      <c r="X20" t="s">
        <v>33</v>
      </c>
      <c r="Y20" s="96">
        <v>55000</v>
      </c>
      <c r="Z20" s="96">
        <v>30000</v>
      </c>
      <c r="AA20" s="97">
        <f t="shared" si="0"/>
        <v>25000</v>
      </c>
    </row>
    <row r="21" spans="2:27" x14ac:dyDescent="0.25">
      <c r="U21" t="s">
        <v>120</v>
      </c>
      <c r="V21" t="s">
        <v>7</v>
      </c>
      <c r="W21" t="s">
        <v>13</v>
      </c>
      <c r="X21" t="s">
        <v>32</v>
      </c>
      <c r="Y21" s="96">
        <v>45000</v>
      </c>
      <c r="Z21" s="96">
        <v>20000</v>
      </c>
      <c r="AA21" s="97">
        <f t="shared" si="0"/>
        <v>25000</v>
      </c>
    </row>
    <row r="22" spans="2:27" x14ac:dyDescent="0.25">
      <c r="U22" t="s">
        <v>121</v>
      </c>
      <c r="V22" t="s">
        <v>6</v>
      </c>
      <c r="W22" t="s">
        <v>14</v>
      </c>
      <c r="X22" t="s">
        <v>33</v>
      </c>
      <c r="Y22" s="96">
        <v>500</v>
      </c>
      <c r="Z22" s="96">
        <v>55000</v>
      </c>
      <c r="AA22" s="97">
        <f t="shared" si="0"/>
        <v>-54500</v>
      </c>
    </row>
    <row r="23" spans="2:27" x14ac:dyDescent="0.25">
      <c r="U23" t="s">
        <v>122</v>
      </c>
      <c r="V23" t="s">
        <v>7</v>
      </c>
      <c r="W23" t="s">
        <v>15</v>
      </c>
      <c r="X23" t="s">
        <v>31</v>
      </c>
      <c r="Y23" s="96">
        <v>30000</v>
      </c>
      <c r="Z23" s="96">
        <v>45000</v>
      </c>
      <c r="AA23" s="97">
        <f t="shared" si="0"/>
        <v>-15000</v>
      </c>
    </row>
    <row r="24" spans="2:27" x14ac:dyDescent="0.25">
      <c r="U24" t="s">
        <v>101</v>
      </c>
      <c r="V24" t="s">
        <v>6</v>
      </c>
      <c r="W24" t="s">
        <v>13</v>
      </c>
      <c r="X24" t="s">
        <v>32</v>
      </c>
      <c r="Y24" s="96">
        <v>20000</v>
      </c>
      <c r="Z24" s="96">
        <v>500</v>
      </c>
      <c r="AA24" s="97">
        <f t="shared" si="0"/>
        <v>19500</v>
      </c>
    </row>
    <row r="25" spans="2:27" x14ac:dyDescent="0.25">
      <c r="U25" t="s">
        <v>123</v>
      </c>
      <c r="V25" t="s">
        <v>7</v>
      </c>
      <c r="W25" t="s">
        <v>14</v>
      </c>
      <c r="X25" t="s">
        <v>33</v>
      </c>
      <c r="Y25" s="96">
        <v>55000</v>
      </c>
      <c r="Z25" s="96">
        <v>30000</v>
      </c>
      <c r="AA25" s="97">
        <f t="shared" si="0"/>
        <v>25000</v>
      </c>
    </row>
    <row r="26" spans="2:27" x14ac:dyDescent="0.25">
      <c r="U26" t="s">
        <v>124</v>
      </c>
      <c r="V26" t="s">
        <v>7</v>
      </c>
      <c r="W26" t="s">
        <v>12</v>
      </c>
      <c r="X26" t="s">
        <v>31</v>
      </c>
      <c r="Y26" s="96">
        <v>45000</v>
      </c>
      <c r="Z26" s="96">
        <v>40000</v>
      </c>
      <c r="AA26" s="97">
        <f t="shared" si="0"/>
        <v>5000</v>
      </c>
    </row>
    <row r="27" spans="2:27" x14ac:dyDescent="0.25">
      <c r="U27" t="s">
        <v>125</v>
      </c>
      <c r="V27" t="s">
        <v>6</v>
      </c>
      <c r="W27" t="s">
        <v>13</v>
      </c>
      <c r="X27" t="s">
        <v>32</v>
      </c>
      <c r="Y27" s="96">
        <v>500</v>
      </c>
      <c r="Z27" s="96">
        <v>20000</v>
      </c>
      <c r="AA27" s="97">
        <f t="shared" si="0"/>
        <v>-19500</v>
      </c>
    </row>
    <row r="28" spans="2:27" x14ac:dyDescent="0.25">
      <c r="U28" t="s">
        <v>126</v>
      </c>
      <c r="V28" t="s">
        <v>7</v>
      </c>
      <c r="W28" t="s">
        <v>14</v>
      </c>
      <c r="X28" t="s">
        <v>33</v>
      </c>
      <c r="Y28" s="96">
        <v>30000</v>
      </c>
      <c r="Z28" s="96">
        <v>50000</v>
      </c>
      <c r="AA28" s="97">
        <f t="shared" si="0"/>
        <v>-20000</v>
      </c>
    </row>
    <row r="29" spans="2:27" x14ac:dyDescent="0.25">
      <c r="U29" t="s">
        <v>127</v>
      </c>
      <c r="V29" t="s">
        <v>6</v>
      </c>
      <c r="W29" t="s">
        <v>15</v>
      </c>
      <c r="X29" t="s">
        <v>31</v>
      </c>
      <c r="Y29" s="96">
        <v>40000</v>
      </c>
      <c r="Z29" s="96">
        <v>30000</v>
      </c>
      <c r="AA29" s="97">
        <f t="shared" si="0"/>
        <v>10000</v>
      </c>
    </row>
    <row r="30" spans="2:27" x14ac:dyDescent="0.25">
      <c r="U30" t="s">
        <v>102</v>
      </c>
      <c r="V30" t="s">
        <v>7</v>
      </c>
      <c r="W30" t="s">
        <v>16</v>
      </c>
      <c r="X30" t="s">
        <v>32</v>
      </c>
      <c r="Y30" s="96">
        <v>20000</v>
      </c>
      <c r="Z30" s="96">
        <v>40000</v>
      </c>
      <c r="AA30" s="97">
        <f t="shared" si="0"/>
        <v>-20000</v>
      </c>
    </row>
    <row r="31" spans="2:27" x14ac:dyDescent="0.25">
      <c r="U31" t="s">
        <v>128</v>
      </c>
      <c r="V31" t="s">
        <v>6</v>
      </c>
      <c r="W31" t="s">
        <v>17</v>
      </c>
      <c r="X31" t="s">
        <v>33</v>
      </c>
      <c r="Y31" s="96">
        <v>50000</v>
      </c>
      <c r="Z31" s="96">
        <v>20000</v>
      </c>
      <c r="AA31" s="97">
        <f t="shared" si="0"/>
        <v>30000</v>
      </c>
    </row>
    <row r="32" spans="2:27" x14ac:dyDescent="0.25">
      <c r="U32" t="s">
        <v>129</v>
      </c>
      <c r="V32" t="s">
        <v>7</v>
      </c>
      <c r="W32" t="s">
        <v>18</v>
      </c>
      <c r="X32" t="s">
        <v>31</v>
      </c>
      <c r="Y32" s="96">
        <v>30000</v>
      </c>
      <c r="Z32" s="96">
        <v>55000</v>
      </c>
      <c r="AA32" s="97">
        <f t="shared" si="0"/>
        <v>-25000</v>
      </c>
    </row>
    <row r="33" spans="21:27" x14ac:dyDescent="0.25">
      <c r="U33" t="s">
        <v>130</v>
      </c>
      <c r="V33" t="s">
        <v>6</v>
      </c>
      <c r="W33" t="s">
        <v>19</v>
      </c>
      <c r="X33" t="s">
        <v>32</v>
      </c>
      <c r="Y33" s="96">
        <v>40000</v>
      </c>
      <c r="Z33" s="96">
        <v>45000</v>
      </c>
      <c r="AA33" s="97">
        <f t="shared" si="0"/>
        <v>-5000</v>
      </c>
    </row>
    <row r="34" spans="21:27" x14ac:dyDescent="0.25">
      <c r="U34" t="s">
        <v>131</v>
      </c>
      <c r="V34" t="s">
        <v>7</v>
      </c>
      <c r="W34" t="s">
        <v>20</v>
      </c>
      <c r="X34" t="s">
        <v>33</v>
      </c>
      <c r="Y34" s="96">
        <v>20000</v>
      </c>
      <c r="Z34" s="96">
        <v>500</v>
      </c>
      <c r="AA34" s="97">
        <f t="shared" si="0"/>
        <v>19500</v>
      </c>
    </row>
    <row r="35" spans="21:27" x14ac:dyDescent="0.25">
      <c r="U35" t="s">
        <v>103</v>
      </c>
      <c r="V35" t="s">
        <v>6</v>
      </c>
      <c r="W35" t="s">
        <v>21</v>
      </c>
      <c r="X35" t="s">
        <v>31</v>
      </c>
      <c r="Y35" s="96">
        <v>55000</v>
      </c>
      <c r="Z35" s="96">
        <v>30000</v>
      </c>
      <c r="AA35" s="97">
        <f t="shared" si="0"/>
        <v>25000</v>
      </c>
    </row>
    <row r="36" spans="21:27" x14ac:dyDescent="0.25">
      <c r="U36" t="s">
        <v>132</v>
      </c>
      <c r="V36" t="s">
        <v>7</v>
      </c>
      <c r="W36" t="s">
        <v>22</v>
      </c>
      <c r="X36" t="s">
        <v>32</v>
      </c>
      <c r="Y36" s="96">
        <v>45000</v>
      </c>
      <c r="Z36" s="96">
        <v>40000</v>
      </c>
      <c r="AA36" s="97">
        <f t="shared" si="0"/>
        <v>5000</v>
      </c>
    </row>
    <row r="37" spans="21:27" x14ac:dyDescent="0.25">
      <c r="U37" t="s">
        <v>133</v>
      </c>
      <c r="V37" t="s">
        <v>6</v>
      </c>
      <c r="W37" t="s">
        <v>23</v>
      </c>
      <c r="X37" t="s">
        <v>33</v>
      </c>
      <c r="Y37" s="96">
        <v>500</v>
      </c>
      <c r="Z37" s="96">
        <v>20000</v>
      </c>
      <c r="AA37" s="97">
        <f t="shared" si="0"/>
        <v>-19500</v>
      </c>
    </row>
    <row r="38" spans="21:27" x14ac:dyDescent="0.25">
      <c r="U38" t="s">
        <v>134</v>
      </c>
      <c r="V38" t="s">
        <v>7</v>
      </c>
      <c r="W38" t="s">
        <v>24</v>
      </c>
      <c r="X38" t="s">
        <v>31</v>
      </c>
      <c r="Y38" s="96">
        <v>30000</v>
      </c>
      <c r="Z38" s="96">
        <v>20000</v>
      </c>
      <c r="AA38" s="97">
        <f t="shared" si="0"/>
        <v>10000</v>
      </c>
    </row>
    <row r="39" spans="21:27" x14ac:dyDescent="0.25">
      <c r="U39" t="s">
        <v>104</v>
      </c>
      <c r="V39" t="s">
        <v>6</v>
      </c>
      <c r="W39" t="s">
        <v>25</v>
      </c>
      <c r="X39" t="s">
        <v>32</v>
      </c>
      <c r="Y39" s="96">
        <v>40000</v>
      </c>
      <c r="Z39" s="96">
        <v>55000</v>
      </c>
      <c r="AA39" s="97">
        <f t="shared" si="0"/>
        <v>-15000</v>
      </c>
    </row>
    <row r="40" spans="21:27" x14ac:dyDescent="0.25">
      <c r="U40" t="s">
        <v>135</v>
      </c>
      <c r="V40" t="s">
        <v>7</v>
      </c>
      <c r="W40" t="s">
        <v>26</v>
      </c>
      <c r="X40" t="s">
        <v>33</v>
      </c>
      <c r="Y40" s="96">
        <v>20000</v>
      </c>
      <c r="Z40" s="96">
        <v>45000</v>
      </c>
      <c r="AA40" s="97">
        <f t="shared" si="0"/>
        <v>-25000</v>
      </c>
    </row>
    <row r="41" spans="21:27" x14ac:dyDescent="0.25">
      <c r="U41" t="s">
        <v>136</v>
      </c>
      <c r="V41" t="s">
        <v>6</v>
      </c>
      <c r="W41" t="s">
        <v>17</v>
      </c>
      <c r="X41" t="s">
        <v>33</v>
      </c>
      <c r="Y41" s="96">
        <v>20000</v>
      </c>
      <c r="Z41" s="96">
        <v>500</v>
      </c>
      <c r="AA41" s="97">
        <f t="shared" si="0"/>
        <v>19500</v>
      </c>
    </row>
    <row r="42" spans="21:27" x14ac:dyDescent="0.25">
      <c r="U42" t="s">
        <v>137</v>
      </c>
      <c r="V42" t="s">
        <v>7</v>
      </c>
      <c r="W42" t="s">
        <v>18</v>
      </c>
      <c r="X42" t="s">
        <v>31</v>
      </c>
      <c r="Y42" s="96">
        <v>55000</v>
      </c>
      <c r="Z42" s="96">
        <v>30000</v>
      </c>
      <c r="AA42" s="97">
        <f t="shared" si="0"/>
        <v>25000</v>
      </c>
    </row>
    <row r="43" spans="21:27" x14ac:dyDescent="0.25">
      <c r="U43" t="s">
        <v>138</v>
      </c>
      <c r="V43" t="s">
        <v>6</v>
      </c>
      <c r="W43" t="s">
        <v>19</v>
      </c>
      <c r="X43" t="s">
        <v>32</v>
      </c>
      <c r="Y43" s="96">
        <v>45000</v>
      </c>
      <c r="Z43" s="96">
        <v>40000</v>
      </c>
      <c r="AA43" s="97">
        <f t="shared" si="0"/>
        <v>5000</v>
      </c>
    </row>
    <row r="44" spans="21:27" x14ac:dyDescent="0.25">
      <c r="U44" t="s">
        <v>139</v>
      </c>
      <c r="V44" t="s">
        <v>7</v>
      </c>
      <c r="W44" t="s">
        <v>20</v>
      </c>
      <c r="X44" t="s">
        <v>33</v>
      </c>
      <c r="Y44" s="96">
        <v>500</v>
      </c>
      <c r="Z44" s="96">
        <v>20000</v>
      </c>
      <c r="AA44" s="97">
        <f t="shared" si="0"/>
        <v>-19500</v>
      </c>
    </row>
    <row r="45" spans="21:27" x14ac:dyDescent="0.25">
      <c r="U45" t="s">
        <v>140</v>
      </c>
      <c r="V45" t="s">
        <v>6</v>
      </c>
      <c r="W45" t="s">
        <v>13</v>
      </c>
      <c r="X45" t="s">
        <v>32</v>
      </c>
      <c r="Y45" s="96">
        <v>30000</v>
      </c>
      <c r="Z45" s="96">
        <v>20000</v>
      </c>
      <c r="AA45" s="97">
        <f t="shared" si="0"/>
        <v>10000</v>
      </c>
    </row>
    <row r="46" spans="21:27" x14ac:dyDescent="0.25">
      <c r="U46" t="s">
        <v>141</v>
      </c>
      <c r="V46" t="s">
        <v>7</v>
      </c>
      <c r="W46" t="s">
        <v>14</v>
      </c>
      <c r="X46" t="s">
        <v>33</v>
      </c>
      <c r="Y46" s="96">
        <v>40000</v>
      </c>
      <c r="Z46" s="96">
        <v>55000</v>
      </c>
      <c r="AA46" s="97">
        <f t="shared" si="0"/>
        <v>-15000</v>
      </c>
    </row>
    <row r="47" spans="21:27" x14ac:dyDescent="0.25">
      <c r="U47" t="s">
        <v>142</v>
      </c>
      <c r="V47" t="s">
        <v>6</v>
      </c>
      <c r="W47" t="s">
        <v>15</v>
      </c>
      <c r="X47" t="s">
        <v>31</v>
      </c>
      <c r="Y47" s="96">
        <v>20000</v>
      </c>
      <c r="Z47" s="96">
        <v>45000</v>
      </c>
      <c r="AA47" s="97">
        <f t="shared" si="0"/>
        <v>-25000</v>
      </c>
    </row>
    <row r="48" spans="21:27" x14ac:dyDescent="0.25">
      <c r="U48" t="s">
        <v>143</v>
      </c>
      <c r="V48" t="s">
        <v>7</v>
      </c>
      <c r="W48" t="s">
        <v>13</v>
      </c>
      <c r="X48" t="s">
        <v>32</v>
      </c>
      <c r="Y48" s="96">
        <v>20000</v>
      </c>
      <c r="Z48" s="96">
        <v>500</v>
      </c>
      <c r="AA48" s="97">
        <f t="shared" si="0"/>
        <v>19500</v>
      </c>
    </row>
    <row r="49" spans="21:27" x14ac:dyDescent="0.25">
      <c r="U49" t="s">
        <v>144</v>
      </c>
      <c r="V49" t="s">
        <v>6</v>
      </c>
      <c r="W49" t="s">
        <v>14</v>
      </c>
      <c r="X49" t="s">
        <v>33</v>
      </c>
      <c r="Y49" s="96">
        <v>55000</v>
      </c>
      <c r="Z49" s="96">
        <v>30000</v>
      </c>
      <c r="AA49" s="97">
        <f t="shared" si="0"/>
        <v>25000</v>
      </c>
    </row>
    <row r="50" spans="21:27" x14ac:dyDescent="0.25">
      <c r="U50" t="s">
        <v>145</v>
      </c>
      <c r="V50" t="s">
        <v>7</v>
      </c>
      <c r="W50" t="s">
        <v>12</v>
      </c>
      <c r="X50" t="s">
        <v>31</v>
      </c>
      <c r="Y50" s="96">
        <v>45000</v>
      </c>
      <c r="Z50" s="96">
        <v>55000</v>
      </c>
      <c r="AA50" s="97">
        <f t="shared" si="0"/>
        <v>-10000</v>
      </c>
    </row>
    <row r="51" spans="21:27" x14ac:dyDescent="0.25">
      <c r="U51" t="s">
        <v>146</v>
      </c>
      <c r="V51" t="s">
        <v>6</v>
      </c>
      <c r="W51" t="s">
        <v>13</v>
      </c>
      <c r="X51" t="s">
        <v>32</v>
      </c>
      <c r="Y51" s="96">
        <v>500</v>
      </c>
      <c r="Z51" s="96">
        <v>45000</v>
      </c>
      <c r="AA51" s="97">
        <f t="shared" si="0"/>
        <v>-44500</v>
      </c>
    </row>
    <row r="52" spans="21:27" x14ac:dyDescent="0.25">
      <c r="U52" t="s">
        <v>147</v>
      </c>
      <c r="V52" t="s">
        <v>7</v>
      </c>
      <c r="W52" t="s">
        <v>14</v>
      </c>
      <c r="X52" t="s">
        <v>33</v>
      </c>
      <c r="Y52" s="96">
        <v>30000</v>
      </c>
      <c r="Z52" s="96">
        <v>500</v>
      </c>
      <c r="AA52" s="97">
        <f t="shared" si="0"/>
        <v>29500</v>
      </c>
    </row>
    <row r="53" spans="21:27" x14ac:dyDescent="0.25">
      <c r="U53" t="s">
        <v>148</v>
      </c>
      <c r="V53" t="s">
        <v>6</v>
      </c>
      <c r="W53" t="s">
        <v>15</v>
      </c>
      <c r="X53" t="s">
        <v>31</v>
      </c>
      <c r="Y53" s="96">
        <v>55000</v>
      </c>
      <c r="Z53" s="96">
        <v>30000</v>
      </c>
      <c r="AA53" s="97">
        <f t="shared" si="0"/>
        <v>25000</v>
      </c>
    </row>
    <row r="54" spans="21:27" x14ac:dyDescent="0.25">
      <c r="U54" t="s">
        <v>149</v>
      </c>
      <c r="V54" t="s">
        <v>7</v>
      </c>
      <c r="W54" t="s">
        <v>16</v>
      </c>
      <c r="X54" t="s">
        <v>32</v>
      </c>
      <c r="Y54" s="96">
        <v>45000</v>
      </c>
      <c r="Z54" s="96">
        <v>30000</v>
      </c>
      <c r="AA54" s="97">
        <f t="shared" si="0"/>
        <v>15000</v>
      </c>
    </row>
    <row r="55" spans="21:27" x14ac:dyDescent="0.25">
      <c r="U55" t="s">
        <v>150</v>
      </c>
      <c r="V55" t="s">
        <v>6</v>
      </c>
      <c r="W55" t="s">
        <v>17</v>
      </c>
      <c r="X55" t="s">
        <v>33</v>
      </c>
      <c r="Y55" s="96">
        <v>500</v>
      </c>
      <c r="Z55" s="96">
        <v>40000</v>
      </c>
      <c r="AA55" s="97">
        <f t="shared" si="0"/>
        <v>-39500</v>
      </c>
    </row>
    <row r="56" spans="21:27" x14ac:dyDescent="0.25">
      <c r="U56" t="s">
        <v>151</v>
      </c>
      <c r="V56" t="s">
        <v>7</v>
      </c>
      <c r="W56" t="s">
        <v>18</v>
      </c>
      <c r="X56" t="s">
        <v>31</v>
      </c>
      <c r="Y56" s="96">
        <v>30000</v>
      </c>
      <c r="Z56" s="96">
        <v>20000</v>
      </c>
      <c r="AA56" s="97">
        <f t="shared" si="0"/>
        <v>10000</v>
      </c>
    </row>
    <row r="57" spans="21:27" x14ac:dyDescent="0.25">
      <c r="U57" t="s">
        <v>152</v>
      </c>
      <c r="V57" t="s">
        <v>6</v>
      </c>
      <c r="W57" t="s">
        <v>19</v>
      </c>
      <c r="X57" t="s">
        <v>32</v>
      </c>
      <c r="Y57" s="96">
        <v>30000</v>
      </c>
      <c r="Z57" s="96">
        <v>40000</v>
      </c>
      <c r="AA57" s="97">
        <f t="shared" si="0"/>
        <v>-10000</v>
      </c>
    </row>
    <row r="58" spans="21:27" x14ac:dyDescent="0.25">
      <c r="U58" t="s">
        <v>153</v>
      </c>
      <c r="V58" t="s">
        <v>7</v>
      </c>
      <c r="W58" t="s">
        <v>20</v>
      </c>
      <c r="X58" t="s">
        <v>33</v>
      </c>
      <c r="Y58" s="96">
        <v>40000</v>
      </c>
      <c r="Z58" s="96">
        <v>20000</v>
      </c>
      <c r="AA58" s="97">
        <f t="shared" si="0"/>
        <v>20000</v>
      </c>
    </row>
    <row r="59" spans="21:27" x14ac:dyDescent="0.25">
      <c r="U59" t="s">
        <v>154</v>
      </c>
      <c r="V59" t="s">
        <v>6</v>
      </c>
      <c r="W59" t="s">
        <v>21</v>
      </c>
      <c r="X59" t="s">
        <v>31</v>
      </c>
      <c r="Y59" s="96">
        <v>20000</v>
      </c>
      <c r="Z59" s="96">
        <v>19000</v>
      </c>
      <c r="AA59" s="97">
        <f t="shared" si="0"/>
        <v>1000</v>
      </c>
    </row>
    <row r="60" spans="21:27" x14ac:dyDescent="0.25">
      <c r="U60" t="s">
        <v>155</v>
      </c>
      <c r="V60" t="s">
        <v>7</v>
      </c>
      <c r="W60" t="s">
        <v>22</v>
      </c>
      <c r="X60" t="s">
        <v>32</v>
      </c>
      <c r="Y60" s="96">
        <v>40000</v>
      </c>
      <c r="Z60" s="96">
        <v>55000</v>
      </c>
      <c r="AA60" s="97">
        <f t="shared" si="0"/>
        <v>-15000</v>
      </c>
    </row>
    <row r="61" spans="21:27" x14ac:dyDescent="0.25">
      <c r="U61" t="s">
        <v>156</v>
      </c>
      <c r="V61" t="s">
        <v>6</v>
      </c>
      <c r="W61" t="s">
        <v>23</v>
      </c>
      <c r="X61" t="s">
        <v>33</v>
      </c>
      <c r="Y61" s="96">
        <v>20000</v>
      </c>
      <c r="Z61" s="96">
        <v>45000</v>
      </c>
      <c r="AA61" s="97">
        <f t="shared" si="0"/>
        <v>-25000</v>
      </c>
    </row>
    <row r="62" spans="21:27" x14ac:dyDescent="0.25">
      <c r="U62" t="s">
        <v>157</v>
      </c>
      <c r="V62" t="s">
        <v>7</v>
      </c>
      <c r="W62" t="s">
        <v>24</v>
      </c>
      <c r="X62" t="s">
        <v>31</v>
      </c>
      <c r="Y62" s="96">
        <v>20000</v>
      </c>
      <c r="Z62" s="96">
        <v>500</v>
      </c>
      <c r="AA62" s="97">
        <f t="shared" si="0"/>
        <v>19500</v>
      </c>
    </row>
    <row r="63" spans="21:27" x14ac:dyDescent="0.25">
      <c r="U63" t="s">
        <v>158</v>
      </c>
      <c r="V63" t="s">
        <v>6</v>
      </c>
      <c r="W63" t="s">
        <v>25</v>
      </c>
      <c r="X63" t="s">
        <v>32</v>
      </c>
      <c r="Y63" s="96">
        <v>55000</v>
      </c>
      <c r="Z63" s="96">
        <v>30000</v>
      </c>
      <c r="AA63" s="97">
        <f t="shared" si="0"/>
        <v>25000</v>
      </c>
    </row>
    <row r="64" spans="21:27" x14ac:dyDescent="0.25">
      <c r="U64" t="s">
        <v>159</v>
      </c>
      <c r="V64" t="s">
        <v>7</v>
      </c>
      <c r="W64" t="s">
        <v>26</v>
      </c>
      <c r="X64" t="s">
        <v>33</v>
      </c>
      <c r="Y64" s="96">
        <v>45000</v>
      </c>
      <c r="Z64" s="96">
        <v>40000</v>
      </c>
      <c r="AA64" s="97">
        <f t="shared" si="0"/>
        <v>5000</v>
      </c>
    </row>
    <row r="65" spans="21:27" x14ac:dyDescent="0.25">
      <c r="U65" t="s">
        <v>160</v>
      </c>
      <c r="V65" t="s">
        <v>6</v>
      </c>
      <c r="W65" t="s">
        <v>17</v>
      </c>
      <c r="X65" t="s">
        <v>33</v>
      </c>
      <c r="Y65" s="96">
        <v>500</v>
      </c>
      <c r="Z65" s="96">
        <v>20000</v>
      </c>
      <c r="AA65" s="97">
        <f t="shared" si="0"/>
        <v>-19500</v>
      </c>
    </row>
    <row r="66" spans="21:27" x14ac:dyDescent="0.25">
      <c r="U66" t="s">
        <v>161</v>
      </c>
      <c r="V66" t="s">
        <v>7</v>
      </c>
      <c r="W66" t="s">
        <v>18</v>
      </c>
      <c r="X66" t="s">
        <v>31</v>
      </c>
      <c r="Y66" s="96">
        <v>30000</v>
      </c>
      <c r="Z66" s="96">
        <v>20000</v>
      </c>
      <c r="AA66" s="97">
        <f t="shared" si="0"/>
        <v>10000</v>
      </c>
    </row>
    <row r="67" spans="21:27" x14ac:dyDescent="0.25">
      <c r="U67" t="s">
        <v>162</v>
      </c>
      <c r="V67" t="s">
        <v>6</v>
      </c>
      <c r="W67" t="s">
        <v>19</v>
      </c>
      <c r="X67" t="s">
        <v>32</v>
      </c>
      <c r="Y67" s="96">
        <v>40000</v>
      </c>
      <c r="Z67" s="96">
        <v>20000</v>
      </c>
      <c r="AA67" s="97">
        <f t="shared" ref="AA67:AA100" si="1">Y67-Z67</f>
        <v>20000</v>
      </c>
    </row>
    <row r="68" spans="21:27" x14ac:dyDescent="0.25">
      <c r="U68" t="s">
        <v>163</v>
      </c>
      <c r="V68" t="s">
        <v>7</v>
      </c>
      <c r="W68" t="s">
        <v>20</v>
      </c>
      <c r="X68" t="s">
        <v>33</v>
      </c>
      <c r="Y68" s="96">
        <v>20000</v>
      </c>
      <c r="Z68" s="96">
        <v>55000</v>
      </c>
      <c r="AA68" s="97">
        <f t="shared" si="1"/>
        <v>-35000</v>
      </c>
    </row>
    <row r="69" spans="21:27" x14ac:dyDescent="0.25">
      <c r="U69" t="s">
        <v>164</v>
      </c>
      <c r="V69" t="s">
        <v>6</v>
      </c>
      <c r="W69" t="s">
        <v>13</v>
      </c>
      <c r="X69" t="s">
        <v>32</v>
      </c>
      <c r="Y69" s="96">
        <v>20000</v>
      </c>
      <c r="Z69" s="96">
        <v>45000</v>
      </c>
      <c r="AA69" s="97">
        <f t="shared" si="1"/>
        <v>-25000</v>
      </c>
    </row>
    <row r="70" spans="21:27" x14ac:dyDescent="0.25">
      <c r="U70" t="s">
        <v>165</v>
      </c>
      <c r="V70" t="s">
        <v>7</v>
      </c>
      <c r="W70" t="s">
        <v>14</v>
      </c>
      <c r="X70" t="s">
        <v>33</v>
      </c>
      <c r="Y70" s="96">
        <v>20000</v>
      </c>
      <c r="Z70" s="96">
        <v>500</v>
      </c>
      <c r="AA70" s="97">
        <f t="shared" si="1"/>
        <v>19500</v>
      </c>
    </row>
    <row r="71" spans="21:27" x14ac:dyDescent="0.25">
      <c r="U71" t="s">
        <v>166</v>
      </c>
      <c r="V71" t="s">
        <v>6</v>
      </c>
      <c r="W71" t="s">
        <v>15</v>
      </c>
      <c r="X71" t="s">
        <v>31</v>
      </c>
      <c r="Y71" s="96">
        <v>55000</v>
      </c>
      <c r="Z71" s="96">
        <v>30000</v>
      </c>
      <c r="AA71" s="97">
        <f t="shared" si="1"/>
        <v>25000</v>
      </c>
    </row>
    <row r="72" spans="21:27" x14ac:dyDescent="0.25">
      <c r="U72" t="s">
        <v>167</v>
      </c>
      <c r="V72" t="s">
        <v>7</v>
      </c>
      <c r="W72" t="s">
        <v>13</v>
      </c>
      <c r="X72" t="s">
        <v>32</v>
      </c>
      <c r="Y72" s="96">
        <v>45000</v>
      </c>
      <c r="Z72" s="96">
        <v>40000</v>
      </c>
      <c r="AA72" s="97">
        <f t="shared" si="1"/>
        <v>5000</v>
      </c>
    </row>
    <row r="73" spans="21:27" x14ac:dyDescent="0.25">
      <c r="U73" t="s">
        <v>168</v>
      </c>
      <c r="V73" t="s">
        <v>6</v>
      </c>
      <c r="W73" t="s">
        <v>14</v>
      </c>
      <c r="X73" t="s">
        <v>33</v>
      </c>
      <c r="Y73" s="96">
        <v>500</v>
      </c>
      <c r="Z73" s="96">
        <v>20000</v>
      </c>
      <c r="AA73" s="97">
        <f t="shared" si="1"/>
        <v>-19500</v>
      </c>
    </row>
    <row r="74" spans="21:27" x14ac:dyDescent="0.25">
      <c r="U74" t="s">
        <v>169</v>
      </c>
      <c r="V74" t="s">
        <v>7</v>
      </c>
      <c r="W74" t="s">
        <v>12</v>
      </c>
      <c r="X74" t="s">
        <v>31</v>
      </c>
      <c r="Y74" s="96">
        <v>30000</v>
      </c>
      <c r="Z74" s="96">
        <v>45000</v>
      </c>
      <c r="AA74" s="97">
        <f t="shared" si="1"/>
        <v>-15000</v>
      </c>
    </row>
    <row r="75" spans="21:27" x14ac:dyDescent="0.25">
      <c r="U75" t="s">
        <v>170</v>
      </c>
      <c r="V75" t="s">
        <v>6</v>
      </c>
      <c r="W75" t="s">
        <v>13</v>
      </c>
      <c r="X75" t="s">
        <v>32</v>
      </c>
      <c r="Y75" s="96">
        <v>40000</v>
      </c>
      <c r="Z75" s="96">
        <v>500</v>
      </c>
      <c r="AA75" s="97">
        <f t="shared" si="1"/>
        <v>39500</v>
      </c>
    </row>
    <row r="76" spans="21:27" x14ac:dyDescent="0.25">
      <c r="U76" t="s">
        <v>171</v>
      </c>
      <c r="V76" t="s">
        <v>7</v>
      </c>
      <c r="W76" t="s">
        <v>14</v>
      </c>
      <c r="X76" t="s">
        <v>33</v>
      </c>
      <c r="Y76" s="96">
        <v>20000</v>
      </c>
      <c r="Z76" s="96">
        <v>30000</v>
      </c>
      <c r="AA76" s="97">
        <f t="shared" si="1"/>
        <v>-10000</v>
      </c>
    </row>
    <row r="77" spans="21:27" x14ac:dyDescent="0.25">
      <c r="U77" t="s">
        <v>172</v>
      </c>
      <c r="V77" t="s">
        <v>6</v>
      </c>
      <c r="W77" t="s">
        <v>15</v>
      </c>
      <c r="X77" t="s">
        <v>31</v>
      </c>
      <c r="Y77" s="96">
        <v>45000</v>
      </c>
      <c r="Z77" s="96">
        <v>20000</v>
      </c>
      <c r="AA77" s="97">
        <f t="shared" si="1"/>
        <v>25000</v>
      </c>
    </row>
    <row r="78" spans="21:27" x14ac:dyDescent="0.25">
      <c r="U78" t="s">
        <v>173</v>
      </c>
      <c r="V78" t="s">
        <v>7</v>
      </c>
      <c r="W78" t="s">
        <v>16</v>
      </c>
      <c r="X78" t="s">
        <v>32</v>
      </c>
      <c r="Y78" s="96">
        <v>500</v>
      </c>
      <c r="Z78" s="96">
        <v>55000</v>
      </c>
      <c r="AA78" s="97">
        <f t="shared" si="1"/>
        <v>-54500</v>
      </c>
    </row>
    <row r="79" spans="21:27" x14ac:dyDescent="0.25">
      <c r="U79" t="s">
        <v>174</v>
      </c>
      <c r="V79" t="s">
        <v>6</v>
      </c>
      <c r="W79" t="s">
        <v>17</v>
      </c>
      <c r="X79" t="s">
        <v>33</v>
      </c>
      <c r="Y79" s="96">
        <v>30000</v>
      </c>
      <c r="Z79" s="96">
        <v>30000</v>
      </c>
      <c r="AA79" s="97">
        <v>26000</v>
      </c>
    </row>
    <row r="80" spans="21:27" x14ac:dyDescent="0.25">
      <c r="U80" t="s">
        <v>175</v>
      </c>
      <c r="V80" t="s">
        <v>7</v>
      </c>
      <c r="W80" t="s">
        <v>18</v>
      </c>
      <c r="X80" t="s">
        <v>31</v>
      </c>
      <c r="Y80" s="96">
        <v>20000</v>
      </c>
      <c r="Z80" s="96">
        <v>40000</v>
      </c>
      <c r="AA80" s="97">
        <f t="shared" si="1"/>
        <v>-20000</v>
      </c>
    </row>
    <row r="81" spans="21:27" x14ac:dyDescent="0.25">
      <c r="U81" t="s">
        <v>176</v>
      </c>
      <c r="V81" t="s">
        <v>6</v>
      </c>
      <c r="W81" t="s">
        <v>19</v>
      </c>
      <c r="X81" t="s">
        <v>32</v>
      </c>
      <c r="Y81" s="96">
        <v>55000</v>
      </c>
      <c r="Z81" s="96">
        <v>20000</v>
      </c>
      <c r="AA81" s="97">
        <f t="shared" si="1"/>
        <v>35000</v>
      </c>
    </row>
    <row r="82" spans="21:27" x14ac:dyDescent="0.25">
      <c r="U82" t="s">
        <v>177</v>
      </c>
      <c r="V82" t="s">
        <v>7</v>
      </c>
      <c r="W82" t="s">
        <v>20</v>
      </c>
      <c r="X82" t="s">
        <v>33</v>
      </c>
      <c r="Y82" s="96">
        <v>45000</v>
      </c>
      <c r="Z82" s="96">
        <v>20000</v>
      </c>
      <c r="AA82" s="97">
        <f t="shared" si="1"/>
        <v>25000</v>
      </c>
    </row>
    <row r="83" spans="21:27" x14ac:dyDescent="0.25">
      <c r="U83" t="s">
        <v>178</v>
      </c>
      <c r="V83" t="s">
        <v>6</v>
      </c>
      <c r="W83" t="s">
        <v>21</v>
      </c>
      <c r="X83" t="s">
        <v>31</v>
      </c>
      <c r="Y83" s="96">
        <v>500</v>
      </c>
      <c r="Z83" s="96">
        <v>55000</v>
      </c>
      <c r="AA83" s="97">
        <f t="shared" si="1"/>
        <v>-54500</v>
      </c>
    </row>
    <row r="84" spans="21:27" x14ac:dyDescent="0.25">
      <c r="U84" t="s">
        <v>179</v>
      </c>
      <c r="V84" t="s">
        <v>7</v>
      </c>
      <c r="W84" t="s">
        <v>22</v>
      </c>
      <c r="X84" t="s">
        <v>32</v>
      </c>
      <c r="Y84" s="96">
        <v>30000</v>
      </c>
      <c r="Z84" s="96">
        <v>45000</v>
      </c>
      <c r="AA84" s="97">
        <f t="shared" si="1"/>
        <v>-15000</v>
      </c>
    </row>
    <row r="85" spans="21:27" x14ac:dyDescent="0.25">
      <c r="U85" t="s">
        <v>180</v>
      </c>
      <c r="V85" t="s">
        <v>6</v>
      </c>
      <c r="W85" t="s">
        <v>23</v>
      </c>
      <c r="X85" t="s">
        <v>33</v>
      </c>
      <c r="Y85" s="96">
        <v>40000</v>
      </c>
      <c r="Z85" s="96">
        <v>500</v>
      </c>
      <c r="AA85" s="97">
        <f t="shared" si="1"/>
        <v>39500</v>
      </c>
    </row>
    <row r="86" spans="21:27" x14ac:dyDescent="0.25">
      <c r="U86" t="s">
        <v>181</v>
      </c>
      <c r="V86" t="s">
        <v>7</v>
      </c>
      <c r="W86" t="s">
        <v>24</v>
      </c>
      <c r="X86" t="s">
        <v>31</v>
      </c>
      <c r="Y86" s="96">
        <v>20000</v>
      </c>
      <c r="Z86" s="96">
        <v>30000</v>
      </c>
      <c r="AA86" s="97">
        <f t="shared" si="1"/>
        <v>-10000</v>
      </c>
    </row>
    <row r="87" spans="21:27" x14ac:dyDescent="0.25">
      <c r="U87" t="s">
        <v>182</v>
      </c>
      <c r="V87" t="s">
        <v>6</v>
      </c>
      <c r="W87" t="s">
        <v>25</v>
      </c>
      <c r="X87" t="s">
        <v>32</v>
      </c>
      <c r="Y87" s="96">
        <v>50000</v>
      </c>
      <c r="Z87" s="96">
        <v>20000</v>
      </c>
      <c r="AA87" s="97">
        <f t="shared" si="1"/>
        <v>30000</v>
      </c>
    </row>
    <row r="88" spans="21:27" x14ac:dyDescent="0.25">
      <c r="U88" t="s">
        <v>183</v>
      </c>
      <c r="V88" t="s">
        <v>7</v>
      </c>
      <c r="W88" t="s">
        <v>26</v>
      </c>
      <c r="X88" t="s">
        <v>33</v>
      </c>
      <c r="Y88" s="96">
        <v>30000</v>
      </c>
      <c r="Z88" s="96">
        <v>55000</v>
      </c>
      <c r="AA88" s="97">
        <f t="shared" si="1"/>
        <v>-25000</v>
      </c>
    </row>
    <row r="89" spans="21:27" x14ac:dyDescent="0.25">
      <c r="U89" t="s">
        <v>184</v>
      </c>
      <c r="V89" t="s">
        <v>6</v>
      </c>
      <c r="W89" t="s">
        <v>17</v>
      </c>
      <c r="X89" t="s">
        <v>33</v>
      </c>
      <c r="Y89" s="96">
        <v>40000</v>
      </c>
      <c r="Z89" s="96">
        <v>45000</v>
      </c>
      <c r="AA89" s="97">
        <f t="shared" si="1"/>
        <v>-5000</v>
      </c>
    </row>
    <row r="90" spans="21:27" x14ac:dyDescent="0.25">
      <c r="U90" t="s">
        <v>185</v>
      </c>
      <c r="V90" t="s">
        <v>7</v>
      </c>
      <c r="W90" t="s">
        <v>18</v>
      </c>
      <c r="X90" t="s">
        <v>31</v>
      </c>
      <c r="Y90" s="96">
        <v>20000</v>
      </c>
      <c r="Z90" s="96">
        <v>500</v>
      </c>
      <c r="AA90" s="97">
        <f t="shared" si="1"/>
        <v>19500</v>
      </c>
    </row>
    <row r="91" spans="21:27" x14ac:dyDescent="0.25">
      <c r="U91" t="s">
        <v>186</v>
      </c>
      <c r="V91" t="s">
        <v>6</v>
      </c>
      <c r="W91" t="s">
        <v>19</v>
      </c>
      <c r="X91" t="s">
        <v>32</v>
      </c>
      <c r="Y91" s="96">
        <v>55000</v>
      </c>
      <c r="Z91" s="96">
        <v>30000</v>
      </c>
      <c r="AA91" s="97">
        <f t="shared" si="1"/>
        <v>25000</v>
      </c>
    </row>
    <row r="92" spans="21:27" x14ac:dyDescent="0.25">
      <c r="U92" t="s">
        <v>187</v>
      </c>
      <c r="V92" t="s">
        <v>7</v>
      </c>
      <c r="W92" t="s">
        <v>20</v>
      </c>
      <c r="X92" t="s">
        <v>33</v>
      </c>
      <c r="Y92" s="96">
        <v>45000</v>
      </c>
      <c r="Z92" s="96">
        <v>40000</v>
      </c>
      <c r="AA92" s="97">
        <f t="shared" si="1"/>
        <v>5000</v>
      </c>
    </row>
    <row r="93" spans="21:27" x14ac:dyDescent="0.25">
      <c r="U93" t="s">
        <v>188</v>
      </c>
      <c r="V93" t="s">
        <v>6</v>
      </c>
      <c r="W93" t="s">
        <v>13</v>
      </c>
      <c r="X93" t="s">
        <v>32</v>
      </c>
      <c r="Y93" s="96">
        <v>500</v>
      </c>
      <c r="Z93" s="96">
        <v>20000</v>
      </c>
      <c r="AA93" s="97">
        <f t="shared" si="1"/>
        <v>-19500</v>
      </c>
    </row>
    <row r="94" spans="21:27" x14ac:dyDescent="0.25">
      <c r="U94" t="s">
        <v>189</v>
      </c>
      <c r="V94" t="s">
        <v>7</v>
      </c>
      <c r="W94" t="s">
        <v>14</v>
      </c>
      <c r="X94" t="s">
        <v>33</v>
      </c>
      <c r="Y94" s="96">
        <v>30000</v>
      </c>
      <c r="Z94" s="96">
        <v>50000</v>
      </c>
      <c r="AA94" s="97">
        <f t="shared" si="1"/>
        <v>-20000</v>
      </c>
    </row>
    <row r="95" spans="21:27" x14ac:dyDescent="0.25">
      <c r="U95" t="s">
        <v>190</v>
      </c>
      <c r="V95" t="s">
        <v>6</v>
      </c>
      <c r="W95" t="s">
        <v>15</v>
      </c>
      <c r="X95" t="s">
        <v>31</v>
      </c>
      <c r="Y95" s="96">
        <v>40000</v>
      </c>
      <c r="Z95" s="96">
        <v>30000</v>
      </c>
      <c r="AA95" s="97">
        <f t="shared" si="1"/>
        <v>10000</v>
      </c>
    </row>
    <row r="96" spans="21:27" x14ac:dyDescent="0.25">
      <c r="U96" t="s">
        <v>191</v>
      </c>
      <c r="V96" t="s">
        <v>7</v>
      </c>
      <c r="W96" t="s">
        <v>13</v>
      </c>
      <c r="X96" t="s">
        <v>32</v>
      </c>
      <c r="Y96" s="96">
        <v>20000</v>
      </c>
      <c r="Z96" s="96">
        <v>40000</v>
      </c>
      <c r="AA96" s="97">
        <f t="shared" si="1"/>
        <v>-20000</v>
      </c>
    </row>
    <row r="97" spans="21:27" x14ac:dyDescent="0.25">
      <c r="U97" t="s">
        <v>192</v>
      </c>
      <c r="V97" t="s">
        <v>6</v>
      </c>
      <c r="W97" t="s">
        <v>14</v>
      </c>
      <c r="X97" t="s">
        <v>33</v>
      </c>
      <c r="Y97" s="96">
        <v>20000</v>
      </c>
      <c r="Z97" s="96">
        <v>15000</v>
      </c>
      <c r="AA97" s="97">
        <f t="shared" si="1"/>
        <v>5000</v>
      </c>
    </row>
    <row r="98" spans="21:27" x14ac:dyDescent="0.25">
      <c r="U98" t="s">
        <v>193</v>
      </c>
      <c r="V98" t="s">
        <v>7</v>
      </c>
      <c r="W98" t="s">
        <v>12</v>
      </c>
      <c r="X98" t="s">
        <v>31</v>
      </c>
      <c r="Y98" s="96">
        <v>55000</v>
      </c>
      <c r="Z98" s="96">
        <v>65000</v>
      </c>
      <c r="AA98" s="97">
        <f t="shared" si="1"/>
        <v>-10000</v>
      </c>
    </row>
    <row r="99" spans="21:27" x14ac:dyDescent="0.25">
      <c r="U99" t="s">
        <v>194</v>
      </c>
      <c r="V99" t="s">
        <v>7</v>
      </c>
      <c r="W99" t="s">
        <v>13</v>
      </c>
      <c r="X99" t="s">
        <v>32</v>
      </c>
      <c r="Y99" s="96">
        <v>45000</v>
      </c>
      <c r="Z99" s="96">
        <v>35000</v>
      </c>
      <c r="AA99" s="97">
        <f t="shared" si="1"/>
        <v>10000</v>
      </c>
    </row>
    <row r="100" spans="21:27" x14ac:dyDescent="0.25">
      <c r="U100" t="s">
        <v>195</v>
      </c>
      <c r="V100" t="s">
        <v>7</v>
      </c>
      <c r="W100" t="s">
        <v>14</v>
      </c>
      <c r="X100" t="s">
        <v>33</v>
      </c>
      <c r="Y100" s="96">
        <v>500</v>
      </c>
      <c r="Z100" s="96">
        <v>1500</v>
      </c>
      <c r="AA100" s="97">
        <f t="shared" si="1"/>
        <v>-1000</v>
      </c>
    </row>
    <row r="101" spans="21:27" x14ac:dyDescent="0.25">
      <c r="Z101" s="96"/>
    </row>
    <row r="102" spans="21:27" x14ac:dyDescent="0.25">
      <c r="Z102" s="96"/>
    </row>
    <row r="103" spans="21:27" x14ac:dyDescent="0.25">
      <c r="Z103" s="96"/>
    </row>
    <row r="104" spans="21:27" x14ac:dyDescent="0.25">
      <c r="Z104" s="96"/>
    </row>
    <row r="105" spans="21:27" x14ac:dyDescent="0.25">
      <c r="Z105" s="96"/>
    </row>
    <row r="106" spans="21:27" x14ac:dyDescent="0.25">
      <c r="Z106" s="96"/>
    </row>
    <row r="107" spans="21:27" x14ac:dyDescent="0.25">
      <c r="Z107" s="96"/>
    </row>
    <row r="108" spans="21:27" x14ac:dyDescent="0.25">
      <c r="Z108" s="96"/>
    </row>
    <row r="109" spans="21:27" x14ac:dyDescent="0.25">
      <c r="Z109" s="96"/>
    </row>
    <row r="110" spans="21:27" x14ac:dyDescent="0.25">
      <c r="Z110" s="96"/>
    </row>
    <row r="111" spans="21:27" x14ac:dyDescent="0.25">
      <c r="Z111" s="96"/>
    </row>
    <row r="112" spans="21:27" x14ac:dyDescent="0.25">
      <c r="Z112" s="96"/>
    </row>
    <row r="113" spans="26:26" x14ac:dyDescent="0.25">
      <c r="Z113" s="96"/>
    </row>
    <row r="114" spans="26:26" x14ac:dyDescent="0.25">
      <c r="Z114" s="96"/>
    </row>
    <row r="115" spans="26:26" x14ac:dyDescent="0.25">
      <c r="Z115" s="96"/>
    </row>
    <row r="116" spans="26:26" x14ac:dyDescent="0.25">
      <c r="Z116" s="96"/>
    </row>
    <row r="117" spans="26:26" x14ac:dyDescent="0.25">
      <c r="Z117" s="96"/>
    </row>
    <row r="118" spans="26:26" x14ac:dyDescent="0.25">
      <c r="Z118" s="96"/>
    </row>
    <row r="119" spans="26:26" x14ac:dyDescent="0.25">
      <c r="Z119" s="96"/>
    </row>
    <row r="120" spans="26:26" x14ac:dyDescent="0.25">
      <c r="Z120" s="96"/>
    </row>
    <row r="121" spans="26:26" x14ac:dyDescent="0.25">
      <c r="Z121" s="96"/>
    </row>
    <row r="122" spans="26:26" x14ac:dyDescent="0.25">
      <c r="Z122" s="96"/>
    </row>
    <row r="123" spans="26:26" x14ac:dyDescent="0.25">
      <c r="Z123" s="96"/>
    </row>
    <row r="124" spans="26:26" x14ac:dyDescent="0.25">
      <c r="Z124" s="96"/>
    </row>
    <row r="125" spans="26:26" x14ac:dyDescent="0.25">
      <c r="Z125" s="96"/>
    </row>
    <row r="126" spans="26:26" x14ac:dyDescent="0.25">
      <c r="Z126" s="96"/>
    </row>
    <row r="127" spans="26:26" x14ac:dyDescent="0.25">
      <c r="Z127" s="96"/>
    </row>
    <row r="128" spans="26:26" x14ac:dyDescent="0.25">
      <c r="Z128" s="96"/>
    </row>
    <row r="129" spans="26:26" x14ac:dyDescent="0.25">
      <c r="Z129" s="96"/>
    </row>
    <row r="130" spans="26:26" x14ac:dyDescent="0.25">
      <c r="Z130" s="96"/>
    </row>
    <row r="131" spans="26:26" x14ac:dyDescent="0.25">
      <c r="Z131" s="96"/>
    </row>
    <row r="132" spans="26:26" x14ac:dyDescent="0.25">
      <c r="Z132" s="96"/>
    </row>
    <row r="133" spans="26:26" x14ac:dyDescent="0.25">
      <c r="Z133" s="96"/>
    </row>
    <row r="134" spans="26:26" x14ac:dyDescent="0.25">
      <c r="Z134" s="96"/>
    </row>
    <row r="135" spans="26:26" x14ac:dyDescent="0.25">
      <c r="Z135" s="96"/>
    </row>
    <row r="136" spans="26:26" x14ac:dyDescent="0.25">
      <c r="Z136" s="96"/>
    </row>
    <row r="137" spans="26:26" x14ac:dyDescent="0.25">
      <c r="Z137" s="96"/>
    </row>
    <row r="138" spans="26:26" x14ac:dyDescent="0.25">
      <c r="Z138" s="96"/>
    </row>
    <row r="139" spans="26:26" x14ac:dyDescent="0.25">
      <c r="Z139" s="96"/>
    </row>
    <row r="140" spans="26:26" x14ac:dyDescent="0.25">
      <c r="Z140" s="96"/>
    </row>
    <row r="141" spans="26:26" x14ac:dyDescent="0.25">
      <c r="Z141" s="96"/>
    </row>
    <row r="142" spans="26:26" x14ac:dyDescent="0.25">
      <c r="Z142" s="96"/>
    </row>
    <row r="143" spans="26:26" x14ac:dyDescent="0.25">
      <c r="Z143" s="96"/>
    </row>
  </sheetData>
  <mergeCells count="3">
    <mergeCell ref="B2:E2"/>
    <mergeCell ref="B11:E11"/>
    <mergeCell ref="L3:P4"/>
  </mergeCells>
  <conditionalFormatting sqref="F8">
    <cfRule type="cellIs" dxfId="18" priority="3" operator="greaterThan">
      <formula>0</formula>
    </cfRule>
    <cfRule type="cellIs" dxfId="17" priority="4" operator="lessThan">
      <formula>0</formula>
    </cfRule>
  </conditionalFormatting>
  <conditionalFormatting sqref="E17">
    <cfRule type="cellIs" dxfId="16" priority="1" operator="greaterThan">
      <formula>0</formula>
    </cfRule>
    <cfRule type="cellIs" dxfId="15" priority="2" operator="lessThan">
      <formula>0</formula>
    </cfRule>
  </conditionalFormatting>
  <pageMargins left="0.7" right="0.7" top="0.75" bottom="0.75" header="0.3" footer="0.3"/>
  <drawing r:id="rId2"/>
  <legacyDrawing r:id="rId3"/>
  <controls>
    <mc:AlternateContent xmlns:mc="http://schemas.openxmlformats.org/markup-compatibility/2006">
      <mc:Choice Requires="x14">
        <control shapeId="15362" r:id="rId4" name="ComboBox1">
          <controlPr defaultSize="0" autoLine="0" linkedCell="G4" listFillRange="U2:U100" r:id="rId5">
            <anchor moveWithCells="1">
              <from>
                <xdr:col>2</xdr:col>
                <xdr:colOff>209550</xdr:colOff>
                <xdr:row>2</xdr:row>
                <xdr:rowOff>180975</xdr:rowOff>
              </from>
              <to>
                <xdr:col>3</xdr:col>
                <xdr:colOff>552450</xdr:colOff>
                <xdr:row>4</xdr:row>
                <xdr:rowOff>57150</xdr:rowOff>
              </to>
            </anchor>
          </controlPr>
        </control>
      </mc:Choice>
      <mc:Fallback>
        <control shapeId="15362" r:id="rId4" name="ComboBox1"/>
      </mc:Fallback>
    </mc:AlternateContent>
    <mc:AlternateContent xmlns:mc="http://schemas.openxmlformats.org/markup-compatibility/2006">
      <mc:Choice Requires="x14">
        <control shapeId="15365" r:id="rId6" name="ComboBox2">
          <controlPr defaultSize="0" autoLine="0" linkedCell="G12" listFillRange="AD11:AD13" r:id="rId7">
            <anchor moveWithCells="1">
              <from>
                <xdr:col>2</xdr:col>
                <xdr:colOff>314325</xdr:colOff>
                <xdr:row>12</xdr:row>
                <xdr:rowOff>9525</xdr:rowOff>
              </from>
              <to>
                <xdr:col>3</xdr:col>
                <xdr:colOff>542925</xdr:colOff>
                <xdr:row>13</xdr:row>
                <xdr:rowOff>76200</xdr:rowOff>
              </to>
            </anchor>
          </controlPr>
        </control>
      </mc:Choice>
      <mc:Fallback>
        <control shapeId="15365" r:id="rId6" name="Combo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03"/>
  <sheetViews>
    <sheetView workbookViewId="0">
      <selection activeCell="C5" sqref="C5:C7"/>
    </sheetView>
  </sheetViews>
  <sheetFormatPr defaultRowHeight="15" x14ac:dyDescent="0.25"/>
  <cols>
    <col min="1" max="1" width="13.28515625" customWidth="1"/>
    <col min="2" max="2" width="19" customWidth="1"/>
    <col min="3" max="3" width="16.42578125" customWidth="1"/>
    <col min="4" max="4" width="12.85546875" bestFit="1" customWidth="1"/>
    <col min="5" max="5" width="15.85546875" customWidth="1"/>
    <col min="6" max="6" width="13.85546875" customWidth="1"/>
    <col min="7" max="7" width="16.7109375" customWidth="1"/>
    <col min="8" max="8" width="18.140625" customWidth="1"/>
    <col min="9" max="9" width="23.7109375" customWidth="1"/>
    <col min="10" max="10" width="20.140625" customWidth="1"/>
    <col min="11" max="11" width="18" customWidth="1"/>
  </cols>
  <sheetData>
    <row r="1" spans="1:11" x14ac:dyDescent="0.25">
      <c r="A1" s="74" t="s">
        <v>0</v>
      </c>
      <c r="B1" s="74" t="s">
        <v>52</v>
      </c>
      <c r="C1" s="74" t="s">
        <v>53</v>
      </c>
      <c r="D1" s="74" t="s">
        <v>54</v>
      </c>
      <c r="E1" s="74" t="s">
        <v>60</v>
      </c>
      <c r="F1" s="74" t="s">
        <v>4</v>
      </c>
      <c r="G1" s="74" t="s">
        <v>57</v>
      </c>
      <c r="H1" s="74" t="s">
        <v>55</v>
      </c>
      <c r="I1" s="74" t="s">
        <v>56</v>
      </c>
      <c r="J1" s="74" t="s">
        <v>65</v>
      </c>
      <c r="K1" s="74" t="s">
        <v>66</v>
      </c>
    </row>
    <row r="2" spans="1:11" x14ac:dyDescent="0.25">
      <c r="A2" s="1">
        <v>390531</v>
      </c>
      <c r="B2" t="s">
        <v>6</v>
      </c>
      <c r="C2" t="s">
        <v>12</v>
      </c>
      <c r="D2" t="s">
        <v>31</v>
      </c>
      <c r="E2" t="s">
        <v>62</v>
      </c>
      <c r="F2" t="s">
        <v>8</v>
      </c>
      <c r="G2" s="6">
        <v>43600</v>
      </c>
      <c r="H2" s="6">
        <v>43650</v>
      </c>
      <c r="I2" s="6">
        <v>43606</v>
      </c>
      <c r="J2" s="75">
        <f>H2-I2</f>
        <v>44</v>
      </c>
      <c r="K2" s="76" t="str">
        <f>IF(J2&gt;-1,"Complied","Non-Complied")</f>
        <v>Complied</v>
      </c>
    </row>
    <row r="3" spans="1:11" x14ac:dyDescent="0.25">
      <c r="A3" s="1">
        <v>390532</v>
      </c>
      <c r="B3" t="s">
        <v>7</v>
      </c>
      <c r="C3" t="s">
        <v>13</v>
      </c>
      <c r="D3" t="s">
        <v>32</v>
      </c>
      <c r="E3" t="s">
        <v>63</v>
      </c>
      <c r="F3" t="s">
        <v>9</v>
      </c>
      <c r="G3" s="6">
        <v>43601</v>
      </c>
      <c r="H3" s="6">
        <v>43651</v>
      </c>
      <c r="I3" s="6">
        <v>43607</v>
      </c>
      <c r="J3" s="75">
        <f t="shared" ref="J3:J66" si="0">H3-I3</f>
        <v>44</v>
      </c>
      <c r="K3" s="76" t="str">
        <f t="shared" ref="K3:K66" si="1">IF(J3&gt;-1,"Complied","Non-Complied")</f>
        <v>Complied</v>
      </c>
    </row>
    <row r="4" spans="1:11" x14ac:dyDescent="0.25">
      <c r="A4" s="1">
        <v>390533</v>
      </c>
      <c r="B4" t="s">
        <v>6</v>
      </c>
      <c r="C4" t="s">
        <v>14</v>
      </c>
      <c r="D4" t="s">
        <v>33</v>
      </c>
      <c r="E4" t="s">
        <v>64</v>
      </c>
      <c r="F4" t="s">
        <v>10</v>
      </c>
      <c r="G4" s="6">
        <v>43602</v>
      </c>
      <c r="H4" s="6">
        <v>43652</v>
      </c>
      <c r="I4" s="6">
        <v>43608</v>
      </c>
      <c r="J4" s="75">
        <f t="shared" si="0"/>
        <v>44</v>
      </c>
      <c r="K4" s="76" t="str">
        <f t="shared" si="1"/>
        <v>Complied</v>
      </c>
    </row>
    <row r="5" spans="1:11" x14ac:dyDescent="0.25">
      <c r="A5" s="1">
        <v>390534</v>
      </c>
      <c r="B5" t="s">
        <v>7</v>
      </c>
      <c r="C5" t="s">
        <v>15</v>
      </c>
      <c r="D5" t="s">
        <v>31</v>
      </c>
      <c r="E5" t="s">
        <v>63</v>
      </c>
      <c r="F5" t="s">
        <v>9</v>
      </c>
      <c r="G5" s="6">
        <v>43603</v>
      </c>
      <c r="H5" s="6">
        <v>43653</v>
      </c>
      <c r="I5" s="6">
        <v>43609</v>
      </c>
      <c r="J5" s="75">
        <f t="shared" si="0"/>
        <v>44</v>
      </c>
      <c r="K5" s="76" t="str">
        <f t="shared" si="1"/>
        <v>Complied</v>
      </c>
    </row>
    <row r="6" spans="1:11" x14ac:dyDescent="0.25">
      <c r="A6" s="1">
        <v>390535</v>
      </c>
      <c r="B6" t="s">
        <v>6</v>
      </c>
      <c r="C6" t="s">
        <v>16</v>
      </c>
      <c r="D6" t="s">
        <v>32</v>
      </c>
      <c r="E6" t="s">
        <v>64</v>
      </c>
      <c r="F6" t="s">
        <v>8</v>
      </c>
      <c r="G6" s="6">
        <v>43604</v>
      </c>
      <c r="H6" s="6">
        <v>43654</v>
      </c>
      <c r="I6" s="6">
        <v>43610</v>
      </c>
      <c r="J6" s="75">
        <f t="shared" si="0"/>
        <v>44</v>
      </c>
      <c r="K6" s="76" t="str">
        <f t="shared" si="1"/>
        <v>Complied</v>
      </c>
    </row>
    <row r="7" spans="1:11" x14ac:dyDescent="0.25">
      <c r="A7" s="1">
        <v>390536</v>
      </c>
      <c r="B7" t="s">
        <v>7</v>
      </c>
      <c r="C7" t="s">
        <v>17</v>
      </c>
      <c r="D7" t="s">
        <v>33</v>
      </c>
      <c r="E7" t="s">
        <v>62</v>
      </c>
      <c r="F7" t="s">
        <v>11</v>
      </c>
      <c r="G7" s="6">
        <v>43605</v>
      </c>
      <c r="H7" s="6">
        <v>43655</v>
      </c>
      <c r="I7" s="6">
        <v>43611</v>
      </c>
      <c r="J7" s="75">
        <f t="shared" si="0"/>
        <v>44</v>
      </c>
      <c r="K7" s="76" t="str">
        <f t="shared" si="1"/>
        <v>Complied</v>
      </c>
    </row>
    <row r="8" spans="1:11" x14ac:dyDescent="0.25">
      <c r="A8" s="1">
        <v>390537</v>
      </c>
      <c r="B8" t="s">
        <v>6</v>
      </c>
      <c r="C8" t="s">
        <v>18</v>
      </c>
      <c r="D8" t="s">
        <v>31</v>
      </c>
      <c r="E8" t="s">
        <v>64</v>
      </c>
      <c r="F8" t="s">
        <v>8</v>
      </c>
      <c r="G8" s="6">
        <v>43606</v>
      </c>
      <c r="H8" s="6">
        <v>43656</v>
      </c>
      <c r="I8" s="6">
        <v>43612</v>
      </c>
      <c r="J8" s="75">
        <f t="shared" si="0"/>
        <v>44</v>
      </c>
      <c r="K8" s="76" t="str">
        <f t="shared" si="1"/>
        <v>Complied</v>
      </c>
    </row>
    <row r="9" spans="1:11" x14ac:dyDescent="0.25">
      <c r="A9" s="1">
        <v>390538</v>
      </c>
      <c r="B9" t="s">
        <v>7</v>
      </c>
      <c r="C9" t="s">
        <v>19</v>
      </c>
      <c r="D9" t="s">
        <v>32</v>
      </c>
      <c r="E9" t="s">
        <v>63</v>
      </c>
      <c r="F9" t="s">
        <v>10</v>
      </c>
      <c r="G9" s="6">
        <v>43607</v>
      </c>
      <c r="H9" s="6">
        <v>43657</v>
      </c>
      <c r="I9" s="6">
        <v>43613</v>
      </c>
      <c r="J9" s="75">
        <f t="shared" si="0"/>
        <v>44</v>
      </c>
      <c r="K9" s="76" t="str">
        <f t="shared" si="1"/>
        <v>Complied</v>
      </c>
    </row>
    <row r="10" spans="1:11" x14ac:dyDescent="0.25">
      <c r="A10" s="1">
        <v>390539</v>
      </c>
      <c r="B10" t="s">
        <v>6</v>
      </c>
      <c r="C10" t="s">
        <v>20</v>
      </c>
      <c r="D10" t="s">
        <v>33</v>
      </c>
      <c r="E10" t="s">
        <v>62</v>
      </c>
      <c r="F10" t="s">
        <v>11</v>
      </c>
      <c r="G10" s="6">
        <v>43608</v>
      </c>
      <c r="H10" s="6">
        <v>43610</v>
      </c>
      <c r="I10" s="6">
        <v>43614</v>
      </c>
      <c r="J10" s="75">
        <f t="shared" si="0"/>
        <v>-4</v>
      </c>
      <c r="K10" s="76" t="str">
        <f t="shared" si="1"/>
        <v>Non-Complied</v>
      </c>
    </row>
    <row r="11" spans="1:11" x14ac:dyDescent="0.25">
      <c r="A11" s="1">
        <v>390540</v>
      </c>
      <c r="B11" t="s">
        <v>7</v>
      </c>
      <c r="C11" t="s">
        <v>21</v>
      </c>
      <c r="D11" t="s">
        <v>31</v>
      </c>
      <c r="E11" t="s">
        <v>62</v>
      </c>
      <c r="F11" t="s">
        <v>10</v>
      </c>
      <c r="G11" s="6">
        <v>43609</v>
      </c>
      <c r="H11" s="6">
        <v>43611</v>
      </c>
      <c r="I11" s="6">
        <v>43615</v>
      </c>
      <c r="J11" s="75">
        <f t="shared" si="0"/>
        <v>-4</v>
      </c>
      <c r="K11" s="76" t="str">
        <f t="shared" si="1"/>
        <v>Non-Complied</v>
      </c>
    </row>
    <row r="12" spans="1:11" x14ac:dyDescent="0.25">
      <c r="A12" s="1">
        <v>390541</v>
      </c>
      <c r="B12" t="s">
        <v>6</v>
      </c>
      <c r="C12" t="s">
        <v>22</v>
      </c>
      <c r="D12" t="s">
        <v>32</v>
      </c>
      <c r="E12" t="s">
        <v>63</v>
      </c>
      <c r="F12" t="s">
        <v>61</v>
      </c>
      <c r="G12" s="6">
        <v>43610</v>
      </c>
      <c r="H12" s="6">
        <v>43612</v>
      </c>
      <c r="I12" s="6">
        <v>43616</v>
      </c>
      <c r="J12" s="75">
        <f t="shared" si="0"/>
        <v>-4</v>
      </c>
      <c r="K12" s="76" t="str">
        <f t="shared" si="1"/>
        <v>Non-Complied</v>
      </c>
    </row>
    <row r="13" spans="1:11" x14ac:dyDescent="0.25">
      <c r="A13" s="1">
        <v>390542</v>
      </c>
      <c r="B13" t="s">
        <v>7</v>
      </c>
      <c r="C13" t="s">
        <v>23</v>
      </c>
      <c r="D13" t="s">
        <v>33</v>
      </c>
      <c r="E13" t="s">
        <v>64</v>
      </c>
      <c r="F13" t="s">
        <v>10</v>
      </c>
      <c r="G13" s="6">
        <v>43611</v>
      </c>
      <c r="H13" s="6">
        <v>43613</v>
      </c>
      <c r="I13" s="6">
        <v>43617</v>
      </c>
      <c r="J13" s="75">
        <f t="shared" si="0"/>
        <v>-4</v>
      </c>
      <c r="K13" s="76" t="str">
        <f t="shared" si="1"/>
        <v>Non-Complied</v>
      </c>
    </row>
    <row r="14" spans="1:11" x14ac:dyDescent="0.25">
      <c r="A14" s="1">
        <v>390543</v>
      </c>
      <c r="B14" t="s">
        <v>6</v>
      </c>
      <c r="C14" t="s">
        <v>24</v>
      </c>
      <c r="D14" t="s">
        <v>31</v>
      </c>
      <c r="E14" t="s">
        <v>63</v>
      </c>
      <c r="F14" t="s">
        <v>61</v>
      </c>
      <c r="G14" s="6">
        <v>43612</v>
      </c>
      <c r="H14" s="6">
        <v>43614</v>
      </c>
      <c r="I14" s="6">
        <v>43618</v>
      </c>
      <c r="J14" s="75">
        <f t="shared" si="0"/>
        <v>-4</v>
      </c>
      <c r="K14" s="76" t="str">
        <f t="shared" si="1"/>
        <v>Non-Complied</v>
      </c>
    </row>
    <row r="15" spans="1:11" x14ac:dyDescent="0.25">
      <c r="A15" s="1">
        <v>390544</v>
      </c>
      <c r="B15" t="s">
        <v>7</v>
      </c>
      <c r="C15" t="s">
        <v>25</v>
      </c>
      <c r="D15" t="s">
        <v>32</v>
      </c>
      <c r="E15" t="s">
        <v>64</v>
      </c>
      <c r="F15" t="s">
        <v>8</v>
      </c>
      <c r="G15" s="6">
        <v>43613</v>
      </c>
      <c r="H15" s="6">
        <v>43615</v>
      </c>
      <c r="I15" s="6">
        <v>43619</v>
      </c>
      <c r="J15" s="75">
        <f t="shared" si="0"/>
        <v>-4</v>
      </c>
      <c r="K15" s="76" t="str">
        <f t="shared" si="1"/>
        <v>Non-Complied</v>
      </c>
    </row>
    <row r="16" spans="1:11" x14ac:dyDescent="0.25">
      <c r="A16" s="1">
        <v>390545</v>
      </c>
      <c r="B16" t="s">
        <v>6</v>
      </c>
      <c r="C16" t="s">
        <v>26</v>
      </c>
      <c r="D16" t="s">
        <v>33</v>
      </c>
      <c r="E16" t="s">
        <v>62</v>
      </c>
      <c r="F16" t="s">
        <v>9</v>
      </c>
      <c r="G16" s="6">
        <v>43614</v>
      </c>
      <c r="H16" s="6">
        <v>43616</v>
      </c>
      <c r="I16" s="6">
        <v>43620</v>
      </c>
      <c r="J16" s="75">
        <f t="shared" si="0"/>
        <v>-4</v>
      </c>
      <c r="K16" s="76" t="str">
        <f t="shared" si="1"/>
        <v>Non-Complied</v>
      </c>
    </row>
    <row r="17" spans="1:11" x14ac:dyDescent="0.25">
      <c r="A17" s="1">
        <v>390546</v>
      </c>
      <c r="B17" t="s">
        <v>7</v>
      </c>
      <c r="C17" t="s">
        <v>17</v>
      </c>
      <c r="D17" t="s">
        <v>33</v>
      </c>
      <c r="E17" t="s">
        <v>64</v>
      </c>
      <c r="F17" t="s">
        <v>11</v>
      </c>
      <c r="G17" s="6">
        <v>43615</v>
      </c>
      <c r="H17" s="6">
        <v>43617</v>
      </c>
      <c r="I17" s="6">
        <v>43621</v>
      </c>
      <c r="J17" s="75">
        <f t="shared" si="0"/>
        <v>-4</v>
      </c>
      <c r="K17" s="76" t="str">
        <f t="shared" si="1"/>
        <v>Non-Complied</v>
      </c>
    </row>
    <row r="18" spans="1:11" x14ac:dyDescent="0.25">
      <c r="A18" s="1">
        <v>390547</v>
      </c>
      <c r="B18" t="s">
        <v>6</v>
      </c>
      <c r="C18" t="s">
        <v>18</v>
      </c>
      <c r="D18" t="s">
        <v>31</v>
      </c>
      <c r="E18" t="s">
        <v>63</v>
      </c>
      <c r="F18" t="s">
        <v>9</v>
      </c>
      <c r="G18" s="6">
        <v>43616</v>
      </c>
      <c r="H18" s="6">
        <v>43618</v>
      </c>
      <c r="I18" s="6">
        <v>43622</v>
      </c>
      <c r="J18" s="75">
        <f t="shared" si="0"/>
        <v>-4</v>
      </c>
      <c r="K18" s="76" t="str">
        <f t="shared" si="1"/>
        <v>Non-Complied</v>
      </c>
    </row>
    <row r="19" spans="1:11" x14ac:dyDescent="0.25">
      <c r="A19" s="1">
        <v>390548</v>
      </c>
      <c r="B19" t="s">
        <v>7</v>
      </c>
      <c r="C19" t="s">
        <v>19</v>
      </c>
      <c r="D19" t="s">
        <v>32</v>
      </c>
      <c r="E19" t="s">
        <v>62</v>
      </c>
      <c r="F19" t="s">
        <v>8</v>
      </c>
      <c r="G19" s="6">
        <v>43617</v>
      </c>
      <c r="H19" s="6">
        <v>43619</v>
      </c>
      <c r="I19" s="6">
        <v>43623</v>
      </c>
      <c r="J19" s="75">
        <f t="shared" si="0"/>
        <v>-4</v>
      </c>
      <c r="K19" s="76" t="str">
        <f t="shared" si="1"/>
        <v>Non-Complied</v>
      </c>
    </row>
    <row r="20" spans="1:11" x14ac:dyDescent="0.25">
      <c r="A20" s="1">
        <v>390549</v>
      </c>
      <c r="B20" t="s">
        <v>6</v>
      </c>
      <c r="C20" t="s">
        <v>20</v>
      </c>
      <c r="D20" t="s">
        <v>33</v>
      </c>
      <c r="E20" t="s">
        <v>62</v>
      </c>
      <c r="F20" t="s">
        <v>9</v>
      </c>
      <c r="G20" s="6">
        <v>43618</v>
      </c>
      <c r="H20" s="6">
        <v>43620</v>
      </c>
      <c r="I20" s="6">
        <v>43624</v>
      </c>
      <c r="J20" s="75">
        <f t="shared" si="0"/>
        <v>-4</v>
      </c>
      <c r="K20" s="76" t="str">
        <f t="shared" si="1"/>
        <v>Non-Complied</v>
      </c>
    </row>
    <row r="21" spans="1:11" x14ac:dyDescent="0.25">
      <c r="A21" s="1">
        <v>390550</v>
      </c>
      <c r="B21" t="s">
        <v>7</v>
      </c>
      <c r="C21" t="s">
        <v>13</v>
      </c>
      <c r="D21" t="s">
        <v>32</v>
      </c>
      <c r="E21" t="s">
        <v>63</v>
      </c>
      <c r="F21" t="s">
        <v>10</v>
      </c>
      <c r="G21" s="6">
        <v>43619</v>
      </c>
      <c r="H21" s="6">
        <v>43621</v>
      </c>
      <c r="I21" s="6">
        <v>43625</v>
      </c>
      <c r="J21" s="75">
        <f t="shared" si="0"/>
        <v>-4</v>
      </c>
      <c r="K21" s="76" t="str">
        <f t="shared" si="1"/>
        <v>Non-Complied</v>
      </c>
    </row>
    <row r="22" spans="1:11" x14ac:dyDescent="0.25">
      <c r="A22" s="1">
        <v>390551</v>
      </c>
      <c r="B22" t="s">
        <v>6</v>
      </c>
      <c r="C22" t="s">
        <v>14</v>
      </c>
      <c r="D22" t="s">
        <v>33</v>
      </c>
      <c r="E22" t="s">
        <v>64</v>
      </c>
      <c r="F22" t="s">
        <v>8</v>
      </c>
      <c r="G22" s="6">
        <v>43620</v>
      </c>
      <c r="H22" s="6">
        <v>43622</v>
      </c>
      <c r="I22" s="6">
        <v>43626</v>
      </c>
      <c r="J22" s="75">
        <f t="shared" si="0"/>
        <v>-4</v>
      </c>
      <c r="K22" s="76" t="str">
        <f t="shared" si="1"/>
        <v>Non-Complied</v>
      </c>
    </row>
    <row r="23" spans="1:11" x14ac:dyDescent="0.25">
      <c r="A23" s="1">
        <v>390552</v>
      </c>
      <c r="B23" t="s">
        <v>7</v>
      </c>
      <c r="C23" t="s">
        <v>15</v>
      </c>
      <c r="D23" t="s">
        <v>31</v>
      </c>
      <c r="E23" t="s">
        <v>63</v>
      </c>
      <c r="F23" t="s">
        <v>61</v>
      </c>
      <c r="G23" s="6">
        <v>43621</v>
      </c>
      <c r="H23" s="6">
        <v>43623</v>
      </c>
      <c r="I23" s="6">
        <v>43627</v>
      </c>
      <c r="J23" s="75">
        <f t="shared" si="0"/>
        <v>-4</v>
      </c>
      <c r="K23" s="76" t="str">
        <f t="shared" si="1"/>
        <v>Non-Complied</v>
      </c>
    </row>
    <row r="24" spans="1:11" x14ac:dyDescent="0.25">
      <c r="A24" s="1">
        <v>390553</v>
      </c>
      <c r="B24" t="s">
        <v>6</v>
      </c>
      <c r="C24" t="s">
        <v>13</v>
      </c>
      <c r="D24" t="s">
        <v>32</v>
      </c>
      <c r="E24" t="s">
        <v>64</v>
      </c>
      <c r="F24" t="s">
        <v>27</v>
      </c>
      <c r="G24" s="6">
        <v>43622</v>
      </c>
      <c r="H24" s="6">
        <v>43624</v>
      </c>
      <c r="I24" s="6">
        <v>43628</v>
      </c>
      <c r="J24" s="75">
        <f t="shared" si="0"/>
        <v>-4</v>
      </c>
      <c r="K24" s="76" t="str">
        <f t="shared" si="1"/>
        <v>Non-Complied</v>
      </c>
    </row>
    <row r="25" spans="1:11" x14ac:dyDescent="0.25">
      <c r="A25" s="1">
        <v>390554</v>
      </c>
      <c r="B25" t="s">
        <v>7</v>
      </c>
      <c r="C25" t="s">
        <v>14</v>
      </c>
      <c r="D25" t="s">
        <v>33</v>
      </c>
      <c r="E25" t="s">
        <v>62</v>
      </c>
      <c r="F25" t="s">
        <v>8</v>
      </c>
      <c r="G25" s="6">
        <v>43623</v>
      </c>
      <c r="H25" s="6">
        <v>43625</v>
      </c>
      <c r="I25" s="6">
        <v>43629</v>
      </c>
      <c r="J25" s="75">
        <f t="shared" si="0"/>
        <v>-4</v>
      </c>
      <c r="K25" s="76" t="str">
        <f t="shared" si="1"/>
        <v>Non-Complied</v>
      </c>
    </row>
    <row r="26" spans="1:11" x14ac:dyDescent="0.25">
      <c r="A26" s="1">
        <v>390555</v>
      </c>
      <c r="B26" t="s">
        <v>7</v>
      </c>
      <c r="C26" t="s">
        <v>12</v>
      </c>
      <c r="D26" t="s">
        <v>31</v>
      </c>
      <c r="E26" t="s">
        <v>64</v>
      </c>
      <c r="F26" t="s">
        <v>8</v>
      </c>
      <c r="G26" s="6">
        <v>43624</v>
      </c>
      <c r="H26" s="6">
        <v>43626</v>
      </c>
      <c r="I26" s="6">
        <v>43630</v>
      </c>
      <c r="J26" s="75">
        <f t="shared" si="0"/>
        <v>-4</v>
      </c>
      <c r="K26" s="76" t="str">
        <f t="shared" si="1"/>
        <v>Non-Complied</v>
      </c>
    </row>
    <row r="27" spans="1:11" x14ac:dyDescent="0.25">
      <c r="A27" s="1">
        <v>390556</v>
      </c>
      <c r="B27" t="s">
        <v>6</v>
      </c>
      <c r="C27" t="s">
        <v>13</v>
      </c>
      <c r="D27" t="s">
        <v>32</v>
      </c>
      <c r="E27" t="s">
        <v>63</v>
      </c>
      <c r="F27" t="s">
        <v>9</v>
      </c>
      <c r="G27" s="6">
        <v>43625</v>
      </c>
      <c r="H27" s="6">
        <v>43627</v>
      </c>
      <c r="I27" s="6">
        <v>43631</v>
      </c>
      <c r="J27" s="75">
        <f t="shared" si="0"/>
        <v>-4</v>
      </c>
      <c r="K27" s="76" t="str">
        <f t="shared" si="1"/>
        <v>Non-Complied</v>
      </c>
    </row>
    <row r="28" spans="1:11" x14ac:dyDescent="0.25">
      <c r="A28" s="1">
        <v>390557</v>
      </c>
      <c r="B28" t="s">
        <v>7</v>
      </c>
      <c r="C28" t="s">
        <v>14</v>
      </c>
      <c r="D28" t="s">
        <v>33</v>
      </c>
      <c r="E28" t="s">
        <v>62</v>
      </c>
      <c r="F28" t="s">
        <v>10</v>
      </c>
      <c r="G28" s="6">
        <v>43626</v>
      </c>
      <c r="H28" s="6">
        <v>43628</v>
      </c>
      <c r="I28" s="6">
        <v>43632</v>
      </c>
      <c r="J28" s="75">
        <f t="shared" si="0"/>
        <v>-4</v>
      </c>
      <c r="K28" s="76" t="str">
        <f t="shared" si="1"/>
        <v>Non-Complied</v>
      </c>
    </row>
    <row r="29" spans="1:11" x14ac:dyDescent="0.25">
      <c r="A29" s="1">
        <v>390558</v>
      </c>
      <c r="B29" t="s">
        <v>6</v>
      </c>
      <c r="C29" t="s">
        <v>15</v>
      </c>
      <c r="D29" t="s">
        <v>31</v>
      </c>
      <c r="E29" t="s">
        <v>62</v>
      </c>
      <c r="F29" t="s">
        <v>9</v>
      </c>
      <c r="G29" s="6">
        <v>43627</v>
      </c>
      <c r="H29" s="6">
        <v>43629</v>
      </c>
      <c r="I29" s="6">
        <v>43633</v>
      </c>
      <c r="J29" s="75">
        <f t="shared" si="0"/>
        <v>-4</v>
      </c>
      <c r="K29" s="76" t="str">
        <f t="shared" si="1"/>
        <v>Non-Complied</v>
      </c>
    </row>
    <row r="30" spans="1:11" x14ac:dyDescent="0.25">
      <c r="A30" s="1">
        <v>390559</v>
      </c>
      <c r="B30" t="s">
        <v>7</v>
      </c>
      <c r="C30" t="s">
        <v>16</v>
      </c>
      <c r="D30" t="s">
        <v>32</v>
      </c>
      <c r="E30" t="s">
        <v>63</v>
      </c>
      <c r="F30" t="s">
        <v>8</v>
      </c>
      <c r="G30" s="6">
        <v>43628</v>
      </c>
      <c r="H30" s="6">
        <v>43630</v>
      </c>
      <c r="I30" s="6">
        <v>43634</v>
      </c>
      <c r="J30" s="75">
        <f t="shared" si="0"/>
        <v>-4</v>
      </c>
      <c r="K30" s="76" t="str">
        <f t="shared" si="1"/>
        <v>Non-Complied</v>
      </c>
    </row>
    <row r="31" spans="1:11" x14ac:dyDescent="0.25">
      <c r="A31" s="1">
        <v>390560</v>
      </c>
      <c r="B31" t="s">
        <v>6</v>
      </c>
      <c r="C31" t="s">
        <v>17</v>
      </c>
      <c r="D31" t="s">
        <v>33</v>
      </c>
      <c r="E31" t="s">
        <v>64</v>
      </c>
      <c r="F31" t="s">
        <v>11</v>
      </c>
      <c r="G31" s="6">
        <v>43629</v>
      </c>
      <c r="H31" s="6">
        <v>43641</v>
      </c>
      <c r="I31" s="6">
        <v>43635</v>
      </c>
      <c r="J31" s="75">
        <f t="shared" si="0"/>
        <v>6</v>
      </c>
      <c r="K31" s="76" t="str">
        <f t="shared" si="1"/>
        <v>Complied</v>
      </c>
    </row>
    <row r="32" spans="1:11" x14ac:dyDescent="0.25">
      <c r="A32" s="1">
        <v>390561</v>
      </c>
      <c r="B32" t="s">
        <v>7</v>
      </c>
      <c r="C32" t="s">
        <v>18</v>
      </c>
      <c r="D32" t="s">
        <v>31</v>
      </c>
      <c r="E32" t="s">
        <v>63</v>
      </c>
      <c r="F32" t="s">
        <v>8</v>
      </c>
      <c r="G32" s="6">
        <v>43630</v>
      </c>
      <c r="H32" s="6">
        <v>43642</v>
      </c>
      <c r="I32" s="6">
        <v>43636</v>
      </c>
      <c r="J32" s="75">
        <f t="shared" si="0"/>
        <v>6</v>
      </c>
      <c r="K32" s="76" t="str">
        <f t="shared" si="1"/>
        <v>Complied</v>
      </c>
    </row>
    <row r="33" spans="1:11" x14ac:dyDescent="0.25">
      <c r="A33" s="1">
        <v>390562</v>
      </c>
      <c r="B33" t="s">
        <v>6</v>
      </c>
      <c r="C33" t="s">
        <v>19</v>
      </c>
      <c r="D33" t="s">
        <v>32</v>
      </c>
      <c r="E33" t="s">
        <v>64</v>
      </c>
      <c r="F33" t="s">
        <v>10</v>
      </c>
      <c r="G33" s="6">
        <v>43631</v>
      </c>
      <c r="H33" s="6">
        <v>43643</v>
      </c>
      <c r="I33" s="6">
        <v>43637</v>
      </c>
      <c r="J33" s="75">
        <f t="shared" si="0"/>
        <v>6</v>
      </c>
      <c r="K33" s="76" t="str">
        <f t="shared" si="1"/>
        <v>Complied</v>
      </c>
    </row>
    <row r="34" spans="1:11" x14ac:dyDescent="0.25">
      <c r="A34" s="1">
        <v>390563</v>
      </c>
      <c r="B34" t="s">
        <v>7</v>
      </c>
      <c r="C34" t="s">
        <v>20</v>
      </c>
      <c r="D34" t="s">
        <v>33</v>
      </c>
      <c r="E34" t="s">
        <v>62</v>
      </c>
      <c r="F34" t="s">
        <v>11</v>
      </c>
      <c r="G34" s="6">
        <v>43632</v>
      </c>
      <c r="H34" s="6">
        <v>43644</v>
      </c>
      <c r="I34" s="6">
        <v>43638</v>
      </c>
      <c r="J34" s="75">
        <f t="shared" si="0"/>
        <v>6</v>
      </c>
      <c r="K34" s="76" t="str">
        <f t="shared" si="1"/>
        <v>Complied</v>
      </c>
    </row>
    <row r="35" spans="1:11" x14ac:dyDescent="0.25">
      <c r="A35" s="1">
        <v>390564</v>
      </c>
      <c r="B35" t="s">
        <v>6</v>
      </c>
      <c r="C35" t="s">
        <v>21</v>
      </c>
      <c r="D35" t="s">
        <v>31</v>
      </c>
      <c r="E35" t="s">
        <v>64</v>
      </c>
      <c r="F35" t="s">
        <v>10</v>
      </c>
      <c r="G35" s="6">
        <v>43633</v>
      </c>
      <c r="H35" s="6">
        <v>43645</v>
      </c>
      <c r="I35" s="6">
        <v>43639</v>
      </c>
      <c r="J35" s="75">
        <f t="shared" si="0"/>
        <v>6</v>
      </c>
      <c r="K35" s="76" t="str">
        <f t="shared" si="1"/>
        <v>Complied</v>
      </c>
    </row>
    <row r="36" spans="1:11" x14ac:dyDescent="0.25">
      <c r="A36" s="1">
        <v>390565</v>
      </c>
      <c r="B36" t="s">
        <v>7</v>
      </c>
      <c r="C36" t="s">
        <v>22</v>
      </c>
      <c r="D36" t="s">
        <v>32</v>
      </c>
      <c r="E36" t="s">
        <v>63</v>
      </c>
      <c r="F36" t="s">
        <v>61</v>
      </c>
      <c r="G36" s="6">
        <v>43634</v>
      </c>
      <c r="H36" s="6">
        <v>43646</v>
      </c>
      <c r="I36" s="6">
        <v>43640</v>
      </c>
      <c r="J36" s="75">
        <f t="shared" si="0"/>
        <v>6</v>
      </c>
      <c r="K36" s="76" t="str">
        <f t="shared" si="1"/>
        <v>Complied</v>
      </c>
    </row>
    <row r="37" spans="1:11" x14ac:dyDescent="0.25">
      <c r="A37" s="1">
        <v>390566</v>
      </c>
      <c r="B37" t="s">
        <v>6</v>
      </c>
      <c r="C37" t="s">
        <v>23</v>
      </c>
      <c r="D37" t="s">
        <v>33</v>
      </c>
      <c r="E37" t="s">
        <v>62</v>
      </c>
      <c r="F37" t="s">
        <v>10</v>
      </c>
      <c r="G37" s="6">
        <v>43635</v>
      </c>
      <c r="H37" s="6">
        <v>43647</v>
      </c>
      <c r="I37" s="6">
        <v>43641</v>
      </c>
      <c r="J37" s="75">
        <f t="shared" si="0"/>
        <v>6</v>
      </c>
      <c r="K37" s="76" t="str">
        <f t="shared" si="1"/>
        <v>Complied</v>
      </c>
    </row>
    <row r="38" spans="1:11" x14ac:dyDescent="0.25">
      <c r="A38" s="1">
        <v>390567</v>
      </c>
      <c r="B38" t="s">
        <v>7</v>
      </c>
      <c r="C38" t="s">
        <v>24</v>
      </c>
      <c r="D38" t="s">
        <v>31</v>
      </c>
      <c r="E38" t="s">
        <v>62</v>
      </c>
      <c r="F38" t="s">
        <v>61</v>
      </c>
      <c r="G38" s="6">
        <v>43636</v>
      </c>
      <c r="H38" s="6">
        <v>43648</v>
      </c>
      <c r="I38" s="6">
        <v>43642</v>
      </c>
      <c r="J38" s="75">
        <f t="shared" si="0"/>
        <v>6</v>
      </c>
      <c r="K38" s="76" t="str">
        <f t="shared" si="1"/>
        <v>Complied</v>
      </c>
    </row>
    <row r="39" spans="1:11" x14ac:dyDescent="0.25">
      <c r="A39" s="1">
        <v>390568</v>
      </c>
      <c r="B39" t="s">
        <v>6</v>
      </c>
      <c r="C39" t="s">
        <v>25</v>
      </c>
      <c r="D39" t="s">
        <v>32</v>
      </c>
      <c r="E39" t="s">
        <v>63</v>
      </c>
      <c r="F39" t="s">
        <v>8</v>
      </c>
      <c r="G39" s="6">
        <v>43637</v>
      </c>
      <c r="H39" s="6">
        <v>43649</v>
      </c>
      <c r="I39" s="6">
        <v>43643</v>
      </c>
      <c r="J39" s="75">
        <f t="shared" si="0"/>
        <v>6</v>
      </c>
      <c r="K39" s="76" t="str">
        <f t="shared" si="1"/>
        <v>Complied</v>
      </c>
    </row>
    <row r="40" spans="1:11" x14ac:dyDescent="0.25">
      <c r="A40" s="1">
        <v>390569</v>
      </c>
      <c r="B40" t="s">
        <v>7</v>
      </c>
      <c r="C40" t="s">
        <v>26</v>
      </c>
      <c r="D40" t="s">
        <v>33</v>
      </c>
      <c r="E40" t="s">
        <v>64</v>
      </c>
      <c r="F40" t="s">
        <v>9</v>
      </c>
      <c r="G40" s="6">
        <v>43638</v>
      </c>
      <c r="H40" s="6">
        <v>43650</v>
      </c>
      <c r="I40" s="6">
        <v>43644</v>
      </c>
      <c r="J40" s="75">
        <f t="shared" si="0"/>
        <v>6</v>
      </c>
      <c r="K40" s="76" t="str">
        <f t="shared" si="1"/>
        <v>Complied</v>
      </c>
    </row>
    <row r="41" spans="1:11" x14ac:dyDescent="0.25">
      <c r="A41" s="1">
        <v>390570</v>
      </c>
      <c r="B41" t="s">
        <v>6</v>
      </c>
      <c r="C41" t="s">
        <v>17</v>
      </c>
      <c r="D41" t="s">
        <v>33</v>
      </c>
      <c r="E41" t="s">
        <v>63</v>
      </c>
      <c r="F41" t="s">
        <v>11</v>
      </c>
      <c r="G41" s="6">
        <v>43639</v>
      </c>
      <c r="H41" s="6">
        <v>43651</v>
      </c>
      <c r="I41" s="6">
        <v>43645</v>
      </c>
      <c r="J41" s="75">
        <f t="shared" si="0"/>
        <v>6</v>
      </c>
      <c r="K41" s="76" t="str">
        <f t="shared" si="1"/>
        <v>Complied</v>
      </c>
    </row>
    <row r="42" spans="1:11" x14ac:dyDescent="0.25">
      <c r="A42" s="1">
        <v>390571</v>
      </c>
      <c r="B42" t="s">
        <v>7</v>
      </c>
      <c r="C42" t="s">
        <v>18</v>
      </c>
      <c r="D42" t="s">
        <v>31</v>
      </c>
      <c r="E42" t="s">
        <v>64</v>
      </c>
      <c r="F42" t="s">
        <v>9</v>
      </c>
      <c r="G42" s="6">
        <v>43640</v>
      </c>
      <c r="H42" s="6">
        <v>43652</v>
      </c>
      <c r="I42" s="6">
        <v>43646</v>
      </c>
      <c r="J42" s="75">
        <f t="shared" si="0"/>
        <v>6</v>
      </c>
      <c r="K42" s="76" t="str">
        <f t="shared" si="1"/>
        <v>Complied</v>
      </c>
    </row>
    <row r="43" spans="1:11" x14ac:dyDescent="0.25">
      <c r="A43" s="1">
        <v>390572</v>
      </c>
      <c r="B43" t="s">
        <v>6</v>
      </c>
      <c r="C43" t="s">
        <v>19</v>
      </c>
      <c r="D43" t="s">
        <v>32</v>
      </c>
      <c r="E43" t="s">
        <v>62</v>
      </c>
      <c r="F43" t="s">
        <v>8</v>
      </c>
      <c r="G43" s="6">
        <v>43641</v>
      </c>
      <c r="H43" s="6">
        <v>43653</v>
      </c>
      <c r="I43" s="6">
        <v>43647</v>
      </c>
      <c r="J43" s="75">
        <f t="shared" si="0"/>
        <v>6</v>
      </c>
      <c r="K43" s="76" t="str">
        <f t="shared" si="1"/>
        <v>Complied</v>
      </c>
    </row>
    <row r="44" spans="1:11" x14ac:dyDescent="0.25">
      <c r="A44" s="1">
        <v>390573</v>
      </c>
      <c r="B44" t="s">
        <v>7</v>
      </c>
      <c r="C44" t="s">
        <v>20</v>
      </c>
      <c r="D44" t="s">
        <v>33</v>
      </c>
      <c r="E44" t="s">
        <v>64</v>
      </c>
      <c r="F44" t="s">
        <v>9</v>
      </c>
      <c r="G44" s="6">
        <v>43642</v>
      </c>
      <c r="H44" s="6">
        <v>43654</v>
      </c>
      <c r="I44" s="6">
        <v>43648</v>
      </c>
      <c r="J44" s="75">
        <f t="shared" si="0"/>
        <v>6</v>
      </c>
      <c r="K44" s="76" t="str">
        <f t="shared" si="1"/>
        <v>Complied</v>
      </c>
    </row>
    <row r="45" spans="1:11" x14ac:dyDescent="0.25">
      <c r="A45" s="1">
        <v>390574</v>
      </c>
      <c r="B45" t="s">
        <v>6</v>
      </c>
      <c r="C45" t="s">
        <v>13</v>
      </c>
      <c r="D45" t="s">
        <v>32</v>
      </c>
      <c r="E45" t="s">
        <v>63</v>
      </c>
      <c r="F45" t="s">
        <v>10</v>
      </c>
      <c r="G45" s="6">
        <v>43643</v>
      </c>
      <c r="H45" s="6">
        <v>43655</v>
      </c>
      <c r="I45" s="6">
        <v>43649</v>
      </c>
      <c r="J45" s="75">
        <f t="shared" si="0"/>
        <v>6</v>
      </c>
      <c r="K45" s="76" t="str">
        <f t="shared" si="1"/>
        <v>Complied</v>
      </c>
    </row>
    <row r="46" spans="1:11" x14ac:dyDescent="0.25">
      <c r="A46" s="1">
        <v>390575</v>
      </c>
      <c r="B46" t="s">
        <v>7</v>
      </c>
      <c r="C46" t="s">
        <v>14</v>
      </c>
      <c r="D46" t="s">
        <v>33</v>
      </c>
      <c r="E46" t="s">
        <v>62</v>
      </c>
      <c r="F46" t="s">
        <v>8</v>
      </c>
      <c r="G46" s="6">
        <v>43644</v>
      </c>
      <c r="H46" s="6">
        <v>43656</v>
      </c>
      <c r="I46" s="6">
        <v>43650</v>
      </c>
      <c r="J46" s="75">
        <f t="shared" si="0"/>
        <v>6</v>
      </c>
      <c r="K46" s="76" t="str">
        <f t="shared" si="1"/>
        <v>Complied</v>
      </c>
    </row>
    <row r="47" spans="1:11" x14ac:dyDescent="0.25">
      <c r="A47" s="1">
        <v>390576</v>
      </c>
      <c r="B47" t="s">
        <v>6</v>
      </c>
      <c r="C47" t="s">
        <v>15</v>
      </c>
      <c r="D47" t="s">
        <v>31</v>
      </c>
      <c r="E47" t="s">
        <v>62</v>
      </c>
      <c r="F47" t="s">
        <v>61</v>
      </c>
      <c r="G47" s="6">
        <v>43645</v>
      </c>
      <c r="H47" s="6">
        <v>43657</v>
      </c>
      <c r="I47" s="6">
        <v>43651</v>
      </c>
      <c r="J47" s="75">
        <f t="shared" si="0"/>
        <v>6</v>
      </c>
      <c r="K47" s="76" t="str">
        <f t="shared" si="1"/>
        <v>Complied</v>
      </c>
    </row>
    <row r="48" spans="1:11" x14ac:dyDescent="0.25">
      <c r="A48" s="1">
        <v>390577</v>
      </c>
      <c r="B48" t="s">
        <v>7</v>
      </c>
      <c r="C48" t="s">
        <v>13</v>
      </c>
      <c r="D48" t="s">
        <v>32</v>
      </c>
      <c r="E48" t="s">
        <v>63</v>
      </c>
      <c r="F48" t="s">
        <v>27</v>
      </c>
      <c r="G48" s="6">
        <v>43646</v>
      </c>
      <c r="H48" s="6">
        <v>43600</v>
      </c>
      <c r="I48" s="6">
        <v>43652</v>
      </c>
      <c r="J48" s="75">
        <f t="shared" si="0"/>
        <v>-52</v>
      </c>
      <c r="K48" s="76" t="str">
        <f t="shared" si="1"/>
        <v>Non-Complied</v>
      </c>
    </row>
    <row r="49" spans="1:11" x14ac:dyDescent="0.25">
      <c r="A49" s="1">
        <v>390578</v>
      </c>
      <c r="B49" t="s">
        <v>6</v>
      </c>
      <c r="C49" t="s">
        <v>14</v>
      </c>
      <c r="D49" t="s">
        <v>33</v>
      </c>
      <c r="E49" t="s">
        <v>64</v>
      </c>
      <c r="F49" t="s">
        <v>8</v>
      </c>
      <c r="G49" s="6">
        <v>43647</v>
      </c>
      <c r="H49" s="6">
        <v>43601</v>
      </c>
      <c r="I49" s="6">
        <v>43653</v>
      </c>
      <c r="J49" s="75">
        <f t="shared" si="0"/>
        <v>-52</v>
      </c>
      <c r="K49" s="76" t="str">
        <f t="shared" si="1"/>
        <v>Non-Complied</v>
      </c>
    </row>
    <row r="50" spans="1:11" x14ac:dyDescent="0.25">
      <c r="A50" s="1">
        <v>390579</v>
      </c>
      <c r="B50" t="s">
        <v>7</v>
      </c>
      <c r="C50" t="s">
        <v>12</v>
      </c>
      <c r="D50" t="s">
        <v>31</v>
      </c>
      <c r="E50" t="s">
        <v>63</v>
      </c>
      <c r="F50" t="s">
        <v>8</v>
      </c>
      <c r="G50" s="6">
        <v>43648</v>
      </c>
      <c r="H50" s="6">
        <v>43602</v>
      </c>
      <c r="I50" s="6">
        <v>43654</v>
      </c>
      <c r="J50" s="75">
        <f t="shared" si="0"/>
        <v>-52</v>
      </c>
      <c r="K50" s="76" t="str">
        <f t="shared" si="1"/>
        <v>Non-Complied</v>
      </c>
    </row>
    <row r="51" spans="1:11" x14ac:dyDescent="0.25">
      <c r="A51" s="1">
        <v>390580</v>
      </c>
      <c r="B51" t="s">
        <v>6</v>
      </c>
      <c r="C51" t="s">
        <v>13</v>
      </c>
      <c r="D51" t="s">
        <v>32</v>
      </c>
      <c r="E51" t="s">
        <v>64</v>
      </c>
      <c r="F51" t="s">
        <v>9</v>
      </c>
      <c r="G51" s="6">
        <v>43649</v>
      </c>
      <c r="H51" s="6">
        <v>43603</v>
      </c>
      <c r="I51" s="6">
        <v>43655</v>
      </c>
      <c r="J51" s="75">
        <f t="shared" si="0"/>
        <v>-52</v>
      </c>
      <c r="K51" s="76" t="str">
        <f t="shared" si="1"/>
        <v>Non-Complied</v>
      </c>
    </row>
    <row r="52" spans="1:11" x14ac:dyDescent="0.25">
      <c r="A52" s="1">
        <v>390581</v>
      </c>
      <c r="B52" t="s">
        <v>7</v>
      </c>
      <c r="C52" t="s">
        <v>14</v>
      </c>
      <c r="D52" t="s">
        <v>33</v>
      </c>
      <c r="E52" t="s">
        <v>62</v>
      </c>
      <c r="F52" t="s">
        <v>10</v>
      </c>
      <c r="G52" s="6">
        <v>43650</v>
      </c>
      <c r="H52" s="6">
        <v>43604</v>
      </c>
      <c r="I52" s="6">
        <v>43656</v>
      </c>
      <c r="J52" s="75">
        <f t="shared" si="0"/>
        <v>-52</v>
      </c>
      <c r="K52" s="76" t="str">
        <f t="shared" si="1"/>
        <v>Non-Complied</v>
      </c>
    </row>
    <row r="53" spans="1:11" x14ac:dyDescent="0.25">
      <c r="A53" s="1">
        <v>390582</v>
      </c>
      <c r="B53" t="s">
        <v>6</v>
      </c>
      <c r="C53" t="s">
        <v>15</v>
      </c>
      <c r="D53" t="s">
        <v>31</v>
      </c>
      <c r="E53" t="s">
        <v>64</v>
      </c>
      <c r="F53" t="s">
        <v>9</v>
      </c>
      <c r="G53" s="6">
        <v>43651</v>
      </c>
      <c r="H53" s="6">
        <v>43605</v>
      </c>
      <c r="I53" s="6">
        <v>43657</v>
      </c>
      <c r="J53" s="75">
        <f t="shared" si="0"/>
        <v>-52</v>
      </c>
      <c r="K53" s="76" t="str">
        <f t="shared" si="1"/>
        <v>Non-Complied</v>
      </c>
    </row>
    <row r="54" spans="1:11" x14ac:dyDescent="0.25">
      <c r="A54" s="1">
        <v>390583</v>
      </c>
      <c r="B54" t="s">
        <v>7</v>
      </c>
      <c r="C54" t="s">
        <v>16</v>
      </c>
      <c r="D54" t="s">
        <v>32</v>
      </c>
      <c r="E54" t="s">
        <v>63</v>
      </c>
      <c r="F54" t="s">
        <v>8</v>
      </c>
      <c r="G54" s="6">
        <v>43652</v>
      </c>
      <c r="H54" s="6">
        <v>43606</v>
      </c>
      <c r="I54" s="6">
        <v>43600</v>
      </c>
      <c r="J54" s="75">
        <f t="shared" si="0"/>
        <v>6</v>
      </c>
      <c r="K54" s="76" t="str">
        <f t="shared" si="1"/>
        <v>Complied</v>
      </c>
    </row>
    <row r="55" spans="1:11" x14ac:dyDescent="0.25">
      <c r="A55" s="1">
        <v>390584</v>
      </c>
      <c r="B55" t="s">
        <v>6</v>
      </c>
      <c r="C55" t="s">
        <v>17</v>
      </c>
      <c r="D55" t="s">
        <v>33</v>
      </c>
      <c r="E55" t="s">
        <v>62</v>
      </c>
      <c r="F55" t="s">
        <v>11</v>
      </c>
      <c r="G55" s="6">
        <v>43653</v>
      </c>
      <c r="H55" s="6">
        <v>43607</v>
      </c>
      <c r="I55" s="6">
        <v>43601</v>
      </c>
      <c r="J55" s="75">
        <f t="shared" si="0"/>
        <v>6</v>
      </c>
      <c r="K55" s="76" t="str">
        <f t="shared" si="1"/>
        <v>Complied</v>
      </c>
    </row>
    <row r="56" spans="1:11" x14ac:dyDescent="0.25">
      <c r="A56" s="1">
        <v>390585</v>
      </c>
      <c r="B56" t="s">
        <v>7</v>
      </c>
      <c r="C56" t="s">
        <v>18</v>
      </c>
      <c r="D56" t="s">
        <v>31</v>
      </c>
      <c r="E56" t="s">
        <v>62</v>
      </c>
      <c r="F56" t="s">
        <v>8</v>
      </c>
      <c r="G56" s="6">
        <v>43654</v>
      </c>
      <c r="H56" s="6">
        <v>43608</v>
      </c>
      <c r="I56" s="6">
        <v>43602</v>
      </c>
      <c r="J56" s="75">
        <f t="shared" si="0"/>
        <v>6</v>
      </c>
      <c r="K56" s="76" t="str">
        <f t="shared" si="1"/>
        <v>Complied</v>
      </c>
    </row>
    <row r="57" spans="1:11" x14ac:dyDescent="0.25">
      <c r="A57" s="1">
        <v>390586</v>
      </c>
      <c r="B57" t="s">
        <v>6</v>
      </c>
      <c r="C57" t="s">
        <v>19</v>
      </c>
      <c r="D57" t="s">
        <v>32</v>
      </c>
      <c r="E57" t="s">
        <v>63</v>
      </c>
      <c r="F57" t="s">
        <v>10</v>
      </c>
      <c r="G57" s="6">
        <v>43655</v>
      </c>
      <c r="H57" s="6">
        <v>43609</v>
      </c>
      <c r="I57" s="6">
        <v>43603</v>
      </c>
      <c r="J57" s="75">
        <f t="shared" si="0"/>
        <v>6</v>
      </c>
      <c r="K57" s="76" t="str">
        <f t="shared" si="1"/>
        <v>Complied</v>
      </c>
    </row>
    <row r="58" spans="1:11" x14ac:dyDescent="0.25">
      <c r="A58" s="1">
        <v>390587</v>
      </c>
      <c r="B58" t="s">
        <v>7</v>
      </c>
      <c r="C58" t="s">
        <v>20</v>
      </c>
      <c r="D58" t="s">
        <v>33</v>
      </c>
      <c r="E58" t="s">
        <v>64</v>
      </c>
      <c r="F58" t="s">
        <v>11</v>
      </c>
      <c r="G58" s="6">
        <v>43656</v>
      </c>
      <c r="H58" s="6">
        <v>43610</v>
      </c>
      <c r="I58" s="6">
        <v>43604</v>
      </c>
      <c r="J58" s="75">
        <f t="shared" si="0"/>
        <v>6</v>
      </c>
      <c r="K58" s="76" t="str">
        <f t="shared" si="1"/>
        <v>Complied</v>
      </c>
    </row>
    <row r="59" spans="1:11" x14ac:dyDescent="0.25">
      <c r="A59" s="1">
        <v>390588</v>
      </c>
      <c r="B59" t="s">
        <v>6</v>
      </c>
      <c r="C59" t="s">
        <v>21</v>
      </c>
      <c r="D59" t="s">
        <v>31</v>
      </c>
      <c r="E59" t="s">
        <v>63</v>
      </c>
      <c r="F59" t="s">
        <v>10</v>
      </c>
      <c r="G59" s="6">
        <v>43657</v>
      </c>
      <c r="H59" s="6">
        <v>43611</v>
      </c>
      <c r="I59" s="6">
        <v>43605</v>
      </c>
      <c r="J59" s="75">
        <f t="shared" si="0"/>
        <v>6</v>
      </c>
      <c r="K59" s="76" t="str">
        <f t="shared" si="1"/>
        <v>Complied</v>
      </c>
    </row>
    <row r="60" spans="1:11" x14ac:dyDescent="0.25">
      <c r="A60" s="1">
        <v>390589</v>
      </c>
      <c r="B60" t="s">
        <v>7</v>
      </c>
      <c r="C60" t="s">
        <v>22</v>
      </c>
      <c r="D60" t="s">
        <v>32</v>
      </c>
      <c r="E60" t="s">
        <v>64</v>
      </c>
      <c r="F60" t="s">
        <v>61</v>
      </c>
      <c r="G60" s="6">
        <v>43600</v>
      </c>
      <c r="H60" s="6">
        <v>43612</v>
      </c>
      <c r="I60" s="6">
        <v>43606</v>
      </c>
      <c r="J60" s="75">
        <f t="shared" si="0"/>
        <v>6</v>
      </c>
      <c r="K60" s="76" t="str">
        <f t="shared" si="1"/>
        <v>Complied</v>
      </c>
    </row>
    <row r="61" spans="1:11" x14ac:dyDescent="0.25">
      <c r="A61" s="1">
        <v>390590</v>
      </c>
      <c r="B61" t="s">
        <v>6</v>
      </c>
      <c r="C61" t="s">
        <v>23</v>
      </c>
      <c r="D61" t="s">
        <v>33</v>
      </c>
      <c r="E61" t="s">
        <v>62</v>
      </c>
      <c r="F61" t="s">
        <v>10</v>
      </c>
      <c r="G61" s="6">
        <v>43601</v>
      </c>
      <c r="H61" s="6">
        <v>43650</v>
      </c>
      <c r="I61" s="6">
        <v>43607</v>
      </c>
      <c r="J61" s="75">
        <f t="shared" si="0"/>
        <v>43</v>
      </c>
      <c r="K61" s="76" t="str">
        <f t="shared" si="1"/>
        <v>Complied</v>
      </c>
    </row>
    <row r="62" spans="1:11" x14ac:dyDescent="0.25">
      <c r="A62" s="1">
        <v>390591</v>
      </c>
      <c r="B62" t="s">
        <v>7</v>
      </c>
      <c r="C62" t="s">
        <v>24</v>
      </c>
      <c r="D62" t="s">
        <v>31</v>
      </c>
      <c r="E62" t="s">
        <v>64</v>
      </c>
      <c r="F62" t="s">
        <v>61</v>
      </c>
      <c r="G62" s="6">
        <v>43602</v>
      </c>
      <c r="H62" s="6">
        <v>43651</v>
      </c>
      <c r="I62" s="6">
        <v>43608</v>
      </c>
      <c r="J62" s="75">
        <f t="shared" si="0"/>
        <v>43</v>
      </c>
      <c r="K62" s="76" t="str">
        <f t="shared" si="1"/>
        <v>Complied</v>
      </c>
    </row>
    <row r="63" spans="1:11" x14ac:dyDescent="0.25">
      <c r="A63" s="1">
        <v>390592</v>
      </c>
      <c r="B63" t="s">
        <v>6</v>
      </c>
      <c r="C63" t="s">
        <v>25</v>
      </c>
      <c r="D63" t="s">
        <v>32</v>
      </c>
      <c r="E63" t="s">
        <v>63</v>
      </c>
      <c r="F63" t="s">
        <v>8</v>
      </c>
      <c r="G63" s="6">
        <v>43603</v>
      </c>
      <c r="H63" s="6">
        <v>43652</v>
      </c>
      <c r="I63" s="6">
        <v>43609</v>
      </c>
      <c r="J63" s="75">
        <f t="shared" si="0"/>
        <v>43</v>
      </c>
      <c r="K63" s="76" t="str">
        <f t="shared" si="1"/>
        <v>Complied</v>
      </c>
    </row>
    <row r="64" spans="1:11" x14ac:dyDescent="0.25">
      <c r="A64" s="1">
        <v>390593</v>
      </c>
      <c r="B64" t="s">
        <v>7</v>
      </c>
      <c r="C64" t="s">
        <v>26</v>
      </c>
      <c r="D64" t="s">
        <v>33</v>
      </c>
      <c r="E64" t="s">
        <v>62</v>
      </c>
      <c r="F64" t="s">
        <v>9</v>
      </c>
      <c r="G64" s="6">
        <v>43604</v>
      </c>
      <c r="H64" s="6">
        <v>43653</v>
      </c>
      <c r="I64" s="6">
        <v>43610</v>
      </c>
      <c r="J64" s="75">
        <f t="shared" si="0"/>
        <v>43</v>
      </c>
      <c r="K64" s="76" t="str">
        <f t="shared" si="1"/>
        <v>Complied</v>
      </c>
    </row>
    <row r="65" spans="1:11" x14ac:dyDescent="0.25">
      <c r="A65" s="1">
        <v>390594</v>
      </c>
      <c r="B65" t="s">
        <v>6</v>
      </c>
      <c r="C65" t="s">
        <v>17</v>
      </c>
      <c r="D65" t="s">
        <v>33</v>
      </c>
      <c r="E65" t="s">
        <v>62</v>
      </c>
      <c r="F65" t="s">
        <v>11</v>
      </c>
      <c r="G65" s="6">
        <v>43605</v>
      </c>
      <c r="H65" s="6">
        <v>43654</v>
      </c>
      <c r="I65" s="6">
        <v>43611</v>
      </c>
      <c r="J65" s="75">
        <f t="shared" si="0"/>
        <v>43</v>
      </c>
      <c r="K65" s="76" t="str">
        <f t="shared" si="1"/>
        <v>Complied</v>
      </c>
    </row>
    <row r="66" spans="1:11" x14ac:dyDescent="0.25">
      <c r="A66" s="1">
        <v>390595</v>
      </c>
      <c r="B66" t="s">
        <v>7</v>
      </c>
      <c r="C66" t="s">
        <v>18</v>
      </c>
      <c r="D66" t="s">
        <v>31</v>
      </c>
      <c r="E66" t="s">
        <v>63</v>
      </c>
      <c r="F66" t="s">
        <v>9</v>
      </c>
      <c r="G66" s="6">
        <v>43606</v>
      </c>
      <c r="H66" s="6">
        <v>43655</v>
      </c>
      <c r="I66" s="6">
        <v>43612</v>
      </c>
      <c r="J66" s="75">
        <f t="shared" si="0"/>
        <v>43</v>
      </c>
      <c r="K66" s="76" t="str">
        <f t="shared" si="1"/>
        <v>Complied</v>
      </c>
    </row>
    <row r="67" spans="1:11" x14ac:dyDescent="0.25">
      <c r="A67" s="1">
        <v>390596</v>
      </c>
      <c r="B67" t="s">
        <v>6</v>
      </c>
      <c r="C67" t="s">
        <v>19</v>
      </c>
      <c r="D67" t="s">
        <v>32</v>
      </c>
      <c r="E67" t="s">
        <v>64</v>
      </c>
      <c r="F67" t="s">
        <v>8</v>
      </c>
      <c r="G67" s="6">
        <v>43607</v>
      </c>
      <c r="H67" s="6">
        <v>43656</v>
      </c>
      <c r="I67" s="6">
        <v>43650</v>
      </c>
      <c r="J67" s="75">
        <f t="shared" ref="J67:J100" si="2">H67-I67</f>
        <v>6</v>
      </c>
      <c r="K67" s="76" t="str">
        <f t="shared" ref="K67:K100" si="3">IF(J67&gt;-1,"Complied","Non-Complied")</f>
        <v>Complied</v>
      </c>
    </row>
    <row r="68" spans="1:11" x14ac:dyDescent="0.25">
      <c r="A68" s="1">
        <v>390597</v>
      </c>
      <c r="B68" t="s">
        <v>7</v>
      </c>
      <c r="C68" t="s">
        <v>20</v>
      </c>
      <c r="D68" t="s">
        <v>33</v>
      </c>
      <c r="E68" t="s">
        <v>63</v>
      </c>
      <c r="F68" t="s">
        <v>9</v>
      </c>
      <c r="G68" s="6">
        <v>43608</v>
      </c>
      <c r="H68" s="6">
        <v>43657</v>
      </c>
      <c r="I68" s="6">
        <v>43651</v>
      </c>
      <c r="J68" s="75">
        <f t="shared" si="2"/>
        <v>6</v>
      </c>
      <c r="K68" s="76" t="str">
        <f t="shared" si="3"/>
        <v>Complied</v>
      </c>
    </row>
    <row r="69" spans="1:11" x14ac:dyDescent="0.25">
      <c r="A69" s="1">
        <v>390598</v>
      </c>
      <c r="B69" t="s">
        <v>6</v>
      </c>
      <c r="C69" t="s">
        <v>13</v>
      </c>
      <c r="D69" t="s">
        <v>32</v>
      </c>
      <c r="E69" t="s">
        <v>64</v>
      </c>
      <c r="F69" t="s">
        <v>10</v>
      </c>
      <c r="G69" s="6">
        <v>43609</v>
      </c>
      <c r="H69" s="6">
        <v>43608</v>
      </c>
      <c r="I69" s="6">
        <v>43652</v>
      </c>
      <c r="J69" s="75">
        <f t="shared" si="2"/>
        <v>-44</v>
      </c>
      <c r="K69" s="76" t="str">
        <f t="shared" si="3"/>
        <v>Non-Complied</v>
      </c>
    </row>
    <row r="70" spans="1:11" x14ac:dyDescent="0.25">
      <c r="A70" s="1">
        <v>390599</v>
      </c>
      <c r="B70" t="s">
        <v>7</v>
      </c>
      <c r="C70" t="s">
        <v>14</v>
      </c>
      <c r="D70" t="s">
        <v>33</v>
      </c>
      <c r="E70" t="s">
        <v>62</v>
      </c>
      <c r="F70" t="s">
        <v>8</v>
      </c>
      <c r="G70" s="6">
        <v>43610</v>
      </c>
      <c r="H70" s="6">
        <v>43609</v>
      </c>
      <c r="I70" s="6">
        <v>43653</v>
      </c>
      <c r="J70" s="75">
        <f t="shared" si="2"/>
        <v>-44</v>
      </c>
      <c r="K70" s="76" t="str">
        <f t="shared" si="3"/>
        <v>Non-Complied</v>
      </c>
    </row>
    <row r="71" spans="1:11" x14ac:dyDescent="0.25">
      <c r="A71" s="1">
        <v>390600</v>
      </c>
      <c r="B71" t="s">
        <v>6</v>
      </c>
      <c r="C71" t="s">
        <v>15</v>
      </c>
      <c r="D71" t="s">
        <v>31</v>
      </c>
      <c r="E71" t="s">
        <v>64</v>
      </c>
      <c r="F71" t="s">
        <v>61</v>
      </c>
      <c r="G71" s="6">
        <v>43611</v>
      </c>
      <c r="H71" s="6">
        <v>43610</v>
      </c>
      <c r="I71" s="6">
        <v>43654</v>
      </c>
      <c r="J71" s="75">
        <f t="shared" si="2"/>
        <v>-44</v>
      </c>
      <c r="K71" s="76" t="str">
        <f t="shared" si="3"/>
        <v>Non-Complied</v>
      </c>
    </row>
    <row r="72" spans="1:11" x14ac:dyDescent="0.25">
      <c r="A72" s="1">
        <v>390601</v>
      </c>
      <c r="B72" t="s">
        <v>7</v>
      </c>
      <c r="C72" t="s">
        <v>13</v>
      </c>
      <c r="D72" t="s">
        <v>32</v>
      </c>
      <c r="E72" t="s">
        <v>63</v>
      </c>
      <c r="F72" t="s">
        <v>27</v>
      </c>
      <c r="G72" s="6">
        <v>43612</v>
      </c>
      <c r="H72" s="6">
        <v>43611</v>
      </c>
      <c r="I72" s="6">
        <v>43655</v>
      </c>
      <c r="J72" s="75">
        <f t="shared" si="2"/>
        <v>-44</v>
      </c>
      <c r="K72" s="76" t="str">
        <f t="shared" si="3"/>
        <v>Non-Complied</v>
      </c>
    </row>
    <row r="73" spans="1:11" x14ac:dyDescent="0.25">
      <c r="A73" s="1">
        <v>390602</v>
      </c>
      <c r="B73" t="s">
        <v>6</v>
      </c>
      <c r="C73" t="s">
        <v>14</v>
      </c>
      <c r="D73" t="s">
        <v>33</v>
      </c>
      <c r="E73" t="s">
        <v>62</v>
      </c>
      <c r="F73" t="s">
        <v>8</v>
      </c>
      <c r="G73" s="6">
        <v>43650</v>
      </c>
      <c r="H73" s="6">
        <v>43612</v>
      </c>
      <c r="I73" s="6">
        <v>43653</v>
      </c>
      <c r="J73" s="75">
        <f t="shared" si="2"/>
        <v>-41</v>
      </c>
      <c r="K73" s="76" t="str">
        <f t="shared" si="3"/>
        <v>Non-Complied</v>
      </c>
    </row>
    <row r="74" spans="1:11" x14ac:dyDescent="0.25">
      <c r="A74" s="1">
        <v>390603</v>
      </c>
      <c r="B74" t="s">
        <v>7</v>
      </c>
      <c r="C74" t="s">
        <v>12</v>
      </c>
      <c r="D74" t="s">
        <v>31</v>
      </c>
      <c r="E74" t="s">
        <v>62</v>
      </c>
      <c r="F74" t="s">
        <v>8</v>
      </c>
      <c r="G74" s="6">
        <v>43651</v>
      </c>
      <c r="H74" s="6">
        <v>43623</v>
      </c>
      <c r="I74" s="6">
        <v>43654</v>
      </c>
      <c r="J74" s="75">
        <f t="shared" si="2"/>
        <v>-31</v>
      </c>
      <c r="K74" s="76" t="str">
        <f t="shared" si="3"/>
        <v>Non-Complied</v>
      </c>
    </row>
    <row r="75" spans="1:11" x14ac:dyDescent="0.25">
      <c r="A75" s="1">
        <v>390604</v>
      </c>
      <c r="B75" t="s">
        <v>6</v>
      </c>
      <c r="C75" t="s">
        <v>13</v>
      </c>
      <c r="D75" t="s">
        <v>32</v>
      </c>
      <c r="E75" t="s">
        <v>63</v>
      </c>
      <c r="F75" t="s">
        <v>9</v>
      </c>
      <c r="G75" s="6">
        <v>43652</v>
      </c>
      <c r="H75" s="6">
        <v>43624</v>
      </c>
      <c r="I75" s="6">
        <v>43655</v>
      </c>
      <c r="J75" s="75">
        <f t="shared" si="2"/>
        <v>-31</v>
      </c>
      <c r="K75" s="76" t="str">
        <f t="shared" si="3"/>
        <v>Non-Complied</v>
      </c>
    </row>
    <row r="76" spans="1:11" x14ac:dyDescent="0.25">
      <c r="A76" s="1">
        <v>390605</v>
      </c>
      <c r="B76" t="s">
        <v>7</v>
      </c>
      <c r="C76" t="s">
        <v>14</v>
      </c>
      <c r="D76" t="s">
        <v>33</v>
      </c>
      <c r="E76" t="s">
        <v>64</v>
      </c>
      <c r="F76" t="s">
        <v>10</v>
      </c>
      <c r="G76" s="6">
        <v>43653</v>
      </c>
      <c r="H76" s="6">
        <v>43625</v>
      </c>
      <c r="I76" s="6">
        <v>43656</v>
      </c>
      <c r="J76" s="75">
        <f t="shared" si="2"/>
        <v>-31</v>
      </c>
      <c r="K76" s="76" t="str">
        <f t="shared" si="3"/>
        <v>Non-Complied</v>
      </c>
    </row>
    <row r="77" spans="1:11" x14ac:dyDescent="0.25">
      <c r="A77" s="1">
        <v>390606</v>
      </c>
      <c r="B77" t="s">
        <v>6</v>
      </c>
      <c r="C77" t="s">
        <v>15</v>
      </c>
      <c r="D77" t="s">
        <v>31</v>
      </c>
      <c r="E77" t="s">
        <v>63</v>
      </c>
      <c r="F77" t="s">
        <v>9</v>
      </c>
      <c r="G77" s="6">
        <v>43654</v>
      </c>
      <c r="H77" s="6">
        <v>43626</v>
      </c>
      <c r="I77" s="6">
        <v>43657</v>
      </c>
      <c r="J77" s="75">
        <f t="shared" si="2"/>
        <v>-31</v>
      </c>
      <c r="K77" s="76" t="str">
        <f t="shared" si="3"/>
        <v>Non-Complied</v>
      </c>
    </row>
    <row r="78" spans="1:11" x14ac:dyDescent="0.25">
      <c r="A78" s="1">
        <v>390607</v>
      </c>
      <c r="B78" t="s">
        <v>7</v>
      </c>
      <c r="C78" t="s">
        <v>16</v>
      </c>
      <c r="D78" t="s">
        <v>32</v>
      </c>
      <c r="E78" t="s">
        <v>64</v>
      </c>
      <c r="F78" t="s">
        <v>8</v>
      </c>
      <c r="G78" s="6">
        <v>43655</v>
      </c>
      <c r="H78" s="6">
        <v>43627</v>
      </c>
      <c r="I78" s="6">
        <v>43608</v>
      </c>
      <c r="J78" s="75">
        <f t="shared" si="2"/>
        <v>19</v>
      </c>
      <c r="K78" s="76" t="str">
        <f t="shared" si="3"/>
        <v>Complied</v>
      </c>
    </row>
    <row r="79" spans="1:11" x14ac:dyDescent="0.25">
      <c r="A79" s="1">
        <v>390608</v>
      </c>
      <c r="B79" t="s">
        <v>6</v>
      </c>
      <c r="C79" t="s">
        <v>17</v>
      </c>
      <c r="D79" t="s">
        <v>33</v>
      </c>
      <c r="E79" t="s">
        <v>62</v>
      </c>
      <c r="F79" t="s">
        <v>11</v>
      </c>
      <c r="G79" s="6">
        <v>43656</v>
      </c>
      <c r="H79" s="6">
        <v>43628</v>
      </c>
      <c r="I79" s="6">
        <v>43609</v>
      </c>
      <c r="J79" s="75">
        <f t="shared" si="2"/>
        <v>19</v>
      </c>
      <c r="K79" s="76" t="str">
        <f t="shared" si="3"/>
        <v>Complied</v>
      </c>
    </row>
    <row r="80" spans="1:11" x14ac:dyDescent="0.25">
      <c r="A80" s="1">
        <v>390609</v>
      </c>
      <c r="B80" t="s">
        <v>7</v>
      </c>
      <c r="C80" t="s">
        <v>18</v>
      </c>
      <c r="D80" t="s">
        <v>31</v>
      </c>
      <c r="E80" t="s">
        <v>64</v>
      </c>
      <c r="F80" t="s">
        <v>8</v>
      </c>
      <c r="G80" s="6">
        <v>43657</v>
      </c>
      <c r="H80" s="6">
        <v>43629</v>
      </c>
      <c r="I80" s="6">
        <v>43610</v>
      </c>
      <c r="J80" s="75">
        <f t="shared" si="2"/>
        <v>19</v>
      </c>
      <c r="K80" s="76" t="str">
        <f t="shared" si="3"/>
        <v>Complied</v>
      </c>
    </row>
    <row r="81" spans="1:11" x14ac:dyDescent="0.25">
      <c r="A81" s="1">
        <v>390610</v>
      </c>
      <c r="B81" t="s">
        <v>6</v>
      </c>
      <c r="C81" t="s">
        <v>19</v>
      </c>
      <c r="D81" t="s">
        <v>32</v>
      </c>
      <c r="E81" t="s">
        <v>63</v>
      </c>
      <c r="F81" t="s">
        <v>10</v>
      </c>
      <c r="G81" s="6">
        <v>43608</v>
      </c>
      <c r="H81" s="6">
        <v>43650</v>
      </c>
      <c r="I81" s="6">
        <v>43611</v>
      </c>
      <c r="J81" s="75">
        <f t="shared" si="2"/>
        <v>39</v>
      </c>
      <c r="K81" s="76" t="str">
        <f t="shared" si="3"/>
        <v>Complied</v>
      </c>
    </row>
    <row r="82" spans="1:11" x14ac:dyDescent="0.25">
      <c r="A82" s="1">
        <v>390611</v>
      </c>
      <c r="B82" t="s">
        <v>7</v>
      </c>
      <c r="C82" t="s">
        <v>20</v>
      </c>
      <c r="D82" t="s">
        <v>33</v>
      </c>
      <c r="E82" t="s">
        <v>62</v>
      </c>
      <c r="F82" t="s">
        <v>11</v>
      </c>
      <c r="G82" s="6">
        <v>43609</v>
      </c>
      <c r="H82" s="6">
        <v>43651</v>
      </c>
      <c r="I82" s="6">
        <v>43612</v>
      </c>
      <c r="J82" s="75">
        <f t="shared" si="2"/>
        <v>39</v>
      </c>
      <c r="K82" s="76" t="str">
        <f t="shared" si="3"/>
        <v>Complied</v>
      </c>
    </row>
    <row r="83" spans="1:11" x14ac:dyDescent="0.25">
      <c r="A83" s="1">
        <v>390612</v>
      </c>
      <c r="B83" t="s">
        <v>6</v>
      </c>
      <c r="C83" t="s">
        <v>21</v>
      </c>
      <c r="D83" t="s">
        <v>31</v>
      </c>
      <c r="E83" t="s">
        <v>62</v>
      </c>
      <c r="F83" t="s">
        <v>10</v>
      </c>
      <c r="G83" s="6">
        <v>43610</v>
      </c>
      <c r="H83" s="6">
        <v>43652</v>
      </c>
      <c r="I83" s="6">
        <v>43623</v>
      </c>
      <c r="J83" s="75">
        <f t="shared" si="2"/>
        <v>29</v>
      </c>
      <c r="K83" s="76" t="str">
        <f t="shared" si="3"/>
        <v>Complied</v>
      </c>
    </row>
    <row r="84" spans="1:11" x14ac:dyDescent="0.25">
      <c r="A84" s="1">
        <v>390613</v>
      </c>
      <c r="B84" t="s">
        <v>7</v>
      </c>
      <c r="C84" t="s">
        <v>22</v>
      </c>
      <c r="D84" t="s">
        <v>32</v>
      </c>
      <c r="E84" t="s">
        <v>63</v>
      </c>
      <c r="F84" t="s">
        <v>61</v>
      </c>
      <c r="G84" s="6">
        <v>43611</v>
      </c>
      <c r="H84" s="6">
        <v>43653</v>
      </c>
      <c r="I84" s="6">
        <v>43624</v>
      </c>
      <c r="J84" s="75">
        <f t="shared" si="2"/>
        <v>29</v>
      </c>
      <c r="K84" s="76" t="str">
        <f t="shared" si="3"/>
        <v>Complied</v>
      </c>
    </row>
    <row r="85" spans="1:11" x14ac:dyDescent="0.25">
      <c r="A85" s="1">
        <v>390614</v>
      </c>
      <c r="B85" t="s">
        <v>6</v>
      </c>
      <c r="C85" t="s">
        <v>23</v>
      </c>
      <c r="D85" t="s">
        <v>33</v>
      </c>
      <c r="E85" t="s">
        <v>64</v>
      </c>
      <c r="F85" t="s">
        <v>10</v>
      </c>
      <c r="G85" s="6">
        <v>43612</v>
      </c>
      <c r="H85" s="6">
        <v>43654</v>
      </c>
      <c r="I85" s="6">
        <v>43625</v>
      </c>
      <c r="J85" s="75">
        <f t="shared" si="2"/>
        <v>29</v>
      </c>
      <c r="K85" s="76" t="str">
        <f t="shared" si="3"/>
        <v>Complied</v>
      </c>
    </row>
    <row r="86" spans="1:11" x14ac:dyDescent="0.25">
      <c r="A86" s="1">
        <v>390615</v>
      </c>
      <c r="B86" t="s">
        <v>7</v>
      </c>
      <c r="C86" t="s">
        <v>24</v>
      </c>
      <c r="D86" t="s">
        <v>31</v>
      </c>
      <c r="E86" t="s">
        <v>63</v>
      </c>
      <c r="F86" t="s">
        <v>61</v>
      </c>
      <c r="G86" s="6">
        <v>43623</v>
      </c>
      <c r="H86" s="6">
        <v>43655</v>
      </c>
      <c r="I86" s="6">
        <v>43626</v>
      </c>
      <c r="J86" s="75">
        <f t="shared" si="2"/>
        <v>29</v>
      </c>
      <c r="K86" s="76" t="str">
        <f t="shared" si="3"/>
        <v>Complied</v>
      </c>
    </row>
    <row r="87" spans="1:11" x14ac:dyDescent="0.25">
      <c r="A87" s="1">
        <v>390616</v>
      </c>
      <c r="B87" t="s">
        <v>6</v>
      </c>
      <c r="C87" t="s">
        <v>25</v>
      </c>
      <c r="D87" t="s">
        <v>32</v>
      </c>
      <c r="E87" t="s">
        <v>64</v>
      </c>
      <c r="F87" t="s">
        <v>8</v>
      </c>
      <c r="G87" s="6">
        <v>43624</v>
      </c>
      <c r="H87" s="6">
        <v>43628</v>
      </c>
      <c r="I87" s="6">
        <v>43627</v>
      </c>
      <c r="J87" s="75">
        <f t="shared" si="2"/>
        <v>1</v>
      </c>
      <c r="K87" s="76" t="str">
        <f t="shared" si="3"/>
        <v>Complied</v>
      </c>
    </row>
    <row r="88" spans="1:11" x14ac:dyDescent="0.25">
      <c r="A88" s="1">
        <v>390617</v>
      </c>
      <c r="B88" t="s">
        <v>7</v>
      </c>
      <c r="C88" t="s">
        <v>26</v>
      </c>
      <c r="D88" t="s">
        <v>33</v>
      </c>
      <c r="E88" t="s">
        <v>62</v>
      </c>
      <c r="F88" t="s">
        <v>9</v>
      </c>
      <c r="G88" s="6">
        <v>43625</v>
      </c>
      <c r="H88" s="6">
        <v>43629</v>
      </c>
      <c r="I88" s="6">
        <v>43628</v>
      </c>
      <c r="J88" s="75">
        <f t="shared" si="2"/>
        <v>1</v>
      </c>
      <c r="K88" s="76" t="str">
        <f t="shared" si="3"/>
        <v>Complied</v>
      </c>
    </row>
    <row r="89" spans="1:11" x14ac:dyDescent="0.25">
      <c r="A89" s="1">
        <v>390618</v>
      </c>
      <c r="B89" t="s">
        <v>6</v>
      </c>
      <c r="C89" t="s">
        <v>17</v>
      </c>
      <c r="D89" t="s">
        <v>33</v>
      </c>
      <c r="E89" t="s">
        <v>64</v>
      </c>
      <c r="F89" t="s">
        <v>11</v>
      </c>
      <c r="G89" s="6">
        <v>43626</v>
      </c>
      <c r="H89" s="6">
        <v>43628</v>
      </c>
      <c r="I89" s="6">
        <v>43629</v>
      </c>
      <c r="J89" s="75">
        <f t="shared" si="2"/>
        <v>-1</v>
      </c>
      <c r="K89" s="76" t="str">
        <f t="shared" si="3"/>
        <v>Non-Complied</v>
      </c>
    </row>
    <row r="90" spans="1:11" x14ac:dyDescent="0.25">
      <c r="A90" s="1">
        <v>390619</v>
      </c>
      <c r="B90" t="s">
        <v>7</v>
      </c>
      <c r="C90" t="s">
        <v>18</v>
      </c>
      <c r="D90" t="s">
        <v>31</v>
      </c>
      <c r="E90" t="s">
        <v>63</v>
      </c>
      <c r="F90" t="s">
        <v>9</v>
      </c>
      <c r="G90" s="6">
        <v>43627</v>
      </c>
      <c r="H90" s="6">
        <v>43629</v>
      </c>
      <c r="I90" s="6">
        <v>43650</v>
      </c>
      <c r="J90" s="75">
        <f t="shared" si="2"/>
        <v>-21</v>
      </c>
      <c r="K90" s="76" t="str">
        <f t="shared" si="3"/>
        <v>Non-Complied</v>
      </c>
    </row>
    <row r="91" spans="1:11" x14ac:dyDescent="0.25">
      <c r="A91" s="1">
        <v>390620</v>
      </c>
      <c r="B91" t="s">
        <v>6</v>
      </c>
      <c r="C91" t="s">
        <v>19</v>
      </c>
      <c r="D91" t="s">
        <v>32</v>
      </c>
      <c r="E91" t="s">
        <v>62</v>
      </c>
      <c r="F91" t="s">
        <v>8</v>
      </c>
      <c r="G91" s="6">
        <v>43628</v>
      </c>
      <c r="H91" s="6">
        <v>43650</v>
      </c>
      <c r="I91" s="6">
        <v>43651</v>
      </c>
      <c r="J91" s="75">
        <f t="shared" si="2"/>
        <v>-1</v>
      </c>
      <c r="K91" s="76" t="str">
        <f t="shared" si="3"/>
        <v>Non-Complied</v>
      </c>
    </row>
    <row r="92" spans="1:11" x14ac:dyDescent="0.25">
      <c r="A92" s="1">
        <v>390621</v>
      </c>
      <c r="B92" t="s">
        <v>7</v>
      </c>
      <c r="C92" t="s">
        <v>20</v>
      </c>
      <c r="D92" t="s">
        <v>33</v>
      </c>
      <c r="E92" t="s">
        <v>62</v>
      </c>
      <c r="F92" t="s">
        <v>9</v>
      </c>
      <c r="G92" s="6">
        <v>43629</v>
      </c>
      <c r="H92" s="6">
        <v>43651</v>
      </c>
      <c r="I92" s="6">
        <v>43652</v>
      </c>
      <c r="J92" s="75">
        <f t="shared" si="2"/>
        <v>-1</v>
      </c>
      <c r="K92" s="76" t="str">
        <f t="shared" si="3"/>
        <v>Non-Complied</v>
      </c>
    </row>
    <row r="93" spans="1:11" x14ac:dyDescent="0.25">
      <c r="A93" s="1">
        <v>390622</v>
      </c>
      <c r="B93" t="s">
        <v>6</v>
      </c>
      <c r="C93" t="s">
        <v>13</v>
      </c>
      <c r="D93" t="s">
        <v>32</v>
      </c>
      <c r="E93" t="s">
        <v>63</v>
      </c>
      <c r="F93" t="s">
        <v>10</v>
      </c>
      <c r="G93" s="6">
        <v>43650</v>
      </c>
      <c r="H93" s="6">
        <v>43652</v>
      </c>
      <c r="I93" s="6">
        <v>43653</v>
      </c>
      <c r="J93" s="75">
        <f t="shared" si="2"/>
        <v>-1</v>
      </c>
      <c r="K93" s="76" t="str">
        <f t="shared" si="3"/>
        <v>Non-Complied</v>
      </c>
    </row>
    <row r="94" spans="1:11" x14ac:dyDescent="0.25">
      <c r="A94" s="1">
        <v>390623</v>
      </c>
      <c r="B94" t="s">
        <v>7</v>
      </c>
      <c r="C94" t="s">
        <v>14</v>
      </c>
      <c r="D94" t="s">
        <v>33</v>
      </c>
      <c r="E94" t="s">
        <v>64</v>
      </c>
      <c r="F94" t="s">
        <v>8</v>
      </c>
      <c r="G94" s="6">
        <v>43651</v>
      </c>
      <c r="H94" s="6">
        <v>43653</v>
      </c>
      <c r="I94" s="6">
        <v>43654</v>
      </c>
      <c r="J94" s="75">
        <f t="shared" si="2"/>
        <v>-1</v>
      </c>
      <c r="K94" s="76" t="str">
        <f t="shared" si="3"/>
        <v>Non-Complied</v>
      </c>
    </row>
    <row r="95" spans="1:11" x14ac:dyDescent="0.25">
      <c r="A95" s="1">
        <v>390624</v>
      </c>
      <c r="B95" t="s">
        <v>6</v>
      </c>
      <c r="C95" t="s">
        <v>15</v>
      </c>
      <c r="D95" t="s">
        <v>31</v>
      </c>
      <c r="E95" t="s">
        <v>63</v>
      </c>
      <c r="F95" t="s">
        <v>61</v>
      </c>
      <c r="G95" s="6">
        <v>43652</v>
      </c>
      <c r="H95" s="6">
        <v>43654</v>
      </c>
      <c r="I95" s="6">
        <v>43655</v>
      </c>
      <c r="J95" s="75">
        <f t="shared" si="2"/>
        <v>-1</v>
      </c>
      <c r="K95" s="76" t="str">
        <f t="shared" si="3"/>
        <v>Non-Complied</v>
      </c>
    </row>
    <row r="96" spans="1:11" x14ac:dyDescent="0.25">
      <c r="A96" s="1">
        <v>390625</v>
      </c>
      <c r="B96" t="s">
        <v>7</v>
      </c>
      <c r="C96" t="s">
        <v>13</v>
      </c>
      <c r="D96" t="s">
        <v>32</v>
      </c>
      <c r="E96" t="s">
        <v>64</v>
      </c>
      <c r="F96" t="s">
        <v>27</v>
      </c>
      <c r="G96" s="6">
        <v>43653</v>
      </c>
      <c r="H96" s="6">
        <v>43652</v>
      </c>
      <c r="I96" s="6">
        <v>43628</v>
      </c>
      <c r="J96" s="75">
        <f t="shared" si="2"/>
        <v>24</v>
      </c>
      <c r="K96" s="76" t="str">
        <f t="shared" si="3"/>
        <v>Complied</v>
      </c>
    </row>
    <row r="97" spans="1:11" x14ac:dyDescent="0.25">
      <c r="A97" s="1">
        <v>390626</v>
      </c>
      <c r="B97" t="s">
        <v>6</v>
      </c>
      <c r="C97" t="s">
        <v>14</v>
      </c>
      <c r="D97" t="s">
        <v>33</v>
      </c>
      <c r="E97" t="s">
        <v>62</v>
      </c>
      <c r="F97" t="s">
        <v>8</v>
      </c>
      <c r="G97" s="6">
        <v>43654</v>
      </c>
      <c r="H97" s="6">
        <v>43653</v>
      </c>
      <c r="I97" s="6">
        <v>43629</v>
      </c>
      <c r="J97" s="75">
        <f t="shared" si="2"/>
        <v>24</v>
      </c>
      <c r="K97" s="76" t="str">
        <f t="shared" si="3"/>
        <v>Complied</v>
      </c>
    </row>
    <row r="98" spans="1:11" x14ac:dyDescent="0.25">
      <c r="A98" s="1">
        <v>390627</v>
      </c>
      <c r="B98" t="s">
        <v>7</v>
      </c>
      <c r="C98" t="s">
        <v>12</v>
      </c>
      <c r="D98" t="s">
        <v>31</v>
      </c>
      <c r="E98" t="s">
        <v>64</v>
      </c>
      <c r="F98" t="s">
        <v>10</v>
      </c>
      <c r="G98" s="6">
        <v>43655</v>
      </c>
      <c r="H98" s="6">
        <v>43654</v>
      </c>
      <c r="I98" s="6">
        <v>43600</v>
      </c>
      <c r="J98" s="75">
        <f t="shared" si="2"/>
        <v>54</v>
      </c>
      <c r="K98" s="76" t="str">
        <f t="shared" si="3"/>
        <v>Complied</v>
      </c>
    </row>
    <row r="99" spans="1:11" x14ac:dyDescent="0.25">
      <c r="A99" s="1">
        <v>390628</v>
      </c>
      <c r="B99" t="s">
        <v>7</v>
      </c>
      <c r="C99" t="s">
        <v>13</v>
      </c>
      <c r="D99" t="s">
        <v>32</v>
      </c>
      <c r="E99" t="s">
        <v>63</v>
      </c>
      <c r="F99" t="s">
        <v>8</v>
      </c>
      <c r="G99" s="6">
        <v>43628</v>
      </c>
      <c r="H99" s="6">
        <v>43655</v>
      </c>
      <c r="I99" s="6">
        <v>43601</v>
      </c>
      <c r="J99" s="75">
        <f t="shared" si="2"/>
        <v>54</v>
      </c>
      <c r="K99" s="76" t="str">
        <f t="shared" si="3"/>
        <v>Complied</v>
      </c>
    </row>
    <row r="100" spans="1:11" x14ac:dyDescent="0.25">
      <c r="A100" s="1">
        <v>390629</v>
      </c>
      <c r="B100" t="s">
        <v>7</v>
      </c>
      <c r="C100" t="s">
        <v>14</v>
      </c>
      <c r="D100" t="s">
        <v>33</v>
      </c>
      <c r="E100" t="s">
        <v>62</v>
      </c>
      <c r="F100" t="s">
        <v>61</v>
      </c>
      <c r="G100" s="6">
        <v>43629</v>
      </c>
      <c r="H100" s="6">
        <v>43628</v>
      </c>
      <c r="I100" s="6">
        <v>43602</v>
      </c>
      <c r="J100" s="75">
        <f t="shared" si="2"/>
        <v>26</v>
      </c>
      <c r="K100" s="76" t="str">
        <f t="shared" si="3"/>
        <v>Complied</v>
      </c>
    </row>
    <row r="101" spans="1:11" x14ac:dyDescent="0.25">
      <c r="G101" s="6"/>
      <c r="H101" s="6"/>
      <c r="I101" s="6"/>
    </row>
    <row r="102" spans="1:11" x14ac:dyDescent="0.25">
      <c r="G102" s="6"/>
    </row>
    <row r="103" spans="1:11" x14ac:dyDescent="0.25">
      <c r="G103" s="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J15"/>
  <sheetViews>
    <sheetView workbookViewId="0">
      <selection activeCell="Q5" sqref="Q5"/>
    </sheetView>
  </sheetViews>
  <sheetFormatPr defaultRowHeight="15" x14ac:dyDescent="0.25"/>
  <cols>
    <col min="2" max="2" width="15.5703125" customWidth="1"/>
    <col min="3" max="3" width="17.85546875" customWidth="1"/>
  </cols>
  <sheetData>
    <row r="1" spans="2:10" x14ac:dyDescent="0.25">
      <c r="D1" s="153" t="s">
        <v>96</v>
      </c>
      <c r="E1" s="153"/>
      <c r="F1" s="153"/>
      <c r="G1" s="153"/>
      <c r="H1" s="153"/>
      <c r="I1" s="153"/>
      <c r="J1" s="153"/>
    </row>
    <row r="2" spans="2:10" x14ac:dyDescent="0.25">
      <c r="D2" s="153"/>
      <c r="E2" s="153"/>
      <c r="F2" s="153"/>
      <c r="G2" s="153"/>
      <c r="H2" s="153"/>
      <c r="I2" s="153"/>
      <c r="J2" s="153"/>
    </row>
    <row r="4" spans="2:10" x14ac:dyDescent="0.25">
      <c r="B4" s="94" t="s">
        <v>89</v>
      </c>
      <c r="C4" s="95" t="s">
        <v>90</v>
      </c>
    </row>
    <row r="5" spans="2:10" x14ac:dyDescent="0.25">
      <c r="B5" s="7" t="s">
        <v>67</v>
      </c>
      <c r="C5" t="s">
        <v>88</v>
      </c>
    </row>
    <row r="6" spans="2:10" x14ac:dyDescent="0.25">
      <c r="B6" s="92" t="s">
        <v>9</v>
      </c>
      <c r="C6">
        <v>17</v>
      </c>
    </row>
    <row r="7" spans="2:10" x14ac:dyDescent="0.25">
      <c r="B7" s="92" t="s">
        <v>84</v>
      </c>
      <c r="C7">
        <v>1</v>
      </c>
    </row>
    <row r="8" spans="2:10" x14ac:dyDescent="0.25">
      <c r="B8" s="92" t="s">
        <v>11</v>
      </c>
      <c r="C8">
        <v>11</v>
      </c>
    </row>
    <row r="9" spans="2:10" x14ac:dyDescent="0.25">
      <c r="B9" s="92" t="s">
        <v>61</v>
      </c>
      <c r="C9">
        <v>9</v>
      </c>
    </row>
    <row r="10" spans="2:10" x14ac:dyDescent="0.25">
      <c r="B10" s="92" t="s">
        <v>8</v>
      </c>
      <c r="C10">
        <v>24</v>
      </c>
    </row>
    <row r="11" spans="2:10" x14ac:dyDescent="0.25">
      <c r="B11" s="92" t="s">
        <v>27</v>
      </c>
      <c r="C11">
        <v>4</v>
      </c>
    </row>
    <row r="12" spans="2:10" x14ac:dyDescent="0.25">
      <c r="B12" s="92" t="s">
        <v>10</v>
      </c>
      <c r="C12">
        <v>20</v>
      </c>
    </row>
    <row r="13" spans="2:10" x14ac:dyDescent="0.25">
      <c r="B13" s="92" t="s">
        <v>68</v>
      </c>
      <c r="C13">
        <v>86</v>
      </c>
    </row>
    <row r="15" spans="2:10" x14ac:dyDescent="0.25"/>
  </sheetData>
  <mergeCells count="1">
    <mergeCell ref="D1:J2"/>
  </mergeCells>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C2:M11"/>
  <sheetViews>
    <sheetView workbookViewId="0">
      <selection activeCell="E7" sqref="E7"/>
    </sheetView>
  </sheetViews>
  <sheetFormatPr defaultRowHeight="15" x14ac:dyDescent="0.25"/>
  <cols>
    <col min="3" max="3" width="13.140625" bestFit="1" customWidth="1"/>
    <col min="4" max="4" width="16.28515625" customWidth="1"/>
    <col min="5" max="5" width="24.85546875" customWidth="1"/>
    <col min="6" max="6" width="14.140625" customWidth="1"/>
    <col min="7" max="7" width="24.85546875" customWidth="1"/>
    <col min="8" max="8" width="13.140625" customWidth="1"/>
    <col min="9" max="9" width="30" hidden="1" customWidth="1"/>
    <col min="11" max="11" width="39.5703125" customWidth="1"/>
    <col min="13" max="13" width="20.7109375" customWidth="1"/>
  </cols>
  <sheetData>
    <row r="2" spans="3:13" x14ac:dyDescent="0.25">
      <c r="C2" s="154" t="s">
        <v>92</v>
      </c>
      <c r="D2" s="154"/>
      <c r="E2" s="154"/>
      <c r="F2" s="154"/>
      <c r="G2" s="154"/>
      <c r="H2" s="154"/>
    </row>
    <row r="3" spans="3:13" x14ac:dyDescent="0.25">
      <c r="C3" s="55"/>
      <c r="D3" s="155" t="s">
        <v>80</v>
      </c>
      <c r="E3" s="156"/>
      <c r="F3" s="155" t="s">
        <v>79</v>
      </c>
      <c r="G3" s="156"/>
      <c r="H3" s="56" t="s">
        <v>74</v>
      </c>
    </row>
    <row r="4" spans="3:13" hidden="1" x14ac:dyDescent="0.25">
      <c r="D4" s="7" t="s">
        <v>69</v>
      </c>
    </row>
    <row r="5" spans="3:13" hidden="1" x14ac:dyDescent="0.25">
      <c r="D5" s="62" t="s">
        <v>70</v>
      </c>
      <c r="E5" s="63"/>
      <c r="F5" s="63" t="s">
        <v>71</v>
      </c>
      <c r="G5" s="64"/>
      <c r="H5" s="65" t="s">
        <v>74</v>
      </c>
      <c r="I5" s="65" t="s">
        <v>72</v>
      </c>
    </row>
    <row r="6" spans="3:13" hidden="1" x14ac:dyDescent="0.25">
      <c r="C6" s="7" t="s">
        <v>67</v>
      </c>
      <c r="D6" s="67" t="s">
        <v>75</v>
      </c>
      <c r="E6" s="68" t="s">
        <v>73</v>
      </c>
      <c r="F6" s="67" t="s">
        <v>75</v>
      </c>
      <c r="G6" s="68" t="s">
        <v>73</v>
      </c>
      <c r="H6" s="66"/>
      <c r="I6" s="66"/>
    </row>
    <row r="7" spans="3:13" ht="15" customHeight="1" x14ac:dyDescent="0.25">
      <c r="C7" s="60" t="s">
        <v>31</v>
      </c>
      <c r="D7" s="118">
        <v>16</v>
      </c>
      <c r="E7" s="119">
        <v>0.55172413793103448</v>
      </c>
      <c r="F7" s="1">
        <v>13</v>
      </c>
      <c r="G7" s="58">
        <v>0.44827586206896552</v>
      </c>
      <c r="H7" s="122">
        <v>29</v>
      </c>
      <c r="I7" s="8">
        <v>1</v>
      </c>
      <c r="K7" s="157" t="s">
        <v>199</v>
      </c>
      <c r="L7" s="117"/>
      <c r="M7" s="117"/>
    </row>
    <row r="8" spans="3:13" x14ac:dyDescent="0.25">
      <c r="C8" s="60" t="s">
        <v>32</v>
      </c>
      <c r="D8" s="118">
        <v>19</v>
      </c>
      <c r="E8" s="119">
        <v>0.5757575757575758</v>
      </c>
      <c r="F8" s="1">
        <v>14</v>
      </c>
      <c r="G8" s="58">
        <v>0.42424242424242425</v>
      </c>
      <c r="H8" s="122">
        <v>33</v>
      </c>
      <c r="I8" s="8">
        <v>1</v>
      </c>
      <c r="K8" s="157"/>
      <c r="L8" s="117"/>
      <c r="M8" s="117"/>
    </row>
    <row r="9" spans="3:13" ht="15" customHeight="1" x14ac:dyDescent="0.25">
      <c r="C9" s="61" t="s">
        <v>33</v>
      </c>
      <c r="D9" s="118">
        <v>21</v>
      </c>
      <c r="E9" s="119">
        <v>0.56756756756756754</v>
      </c>
      <c r="F9" s="1">
        <v>16</v>
      </c>
      <c r="G9" s="58">
        <v>0.43243243243243246</v>
      </c>
      <c r="H9" s="122">
        <v>37</v>
      </c>
      <c r="I9" s="8">
        <v>1</v>
      </c>
      <c r="K9" s="157"/>
    </row>
    <row r="10" spans="3:13" x14ac:dyDescent="0.25">
      <c r="C10" s="61" t="s">
        <v>68</v>
      </c>
      <c r="D10" s="120">
        <v>56</v>
      </c>
      <c r="E10" s="57">
        <v>0.56565656565656564</v>
      </c>
      <c r="F10" s="121">
        <v>43</v>
      </c>
      <c r="G10" s="59">
        <v>0.43434343434343436</v>
      </c>
      <c r="H10" s="123">
        <v>99</v>
      </c>
      <c r="I10" s="8">
        <v>1</v>
      </c>
      <c r="K10" s="116"/>
    </row>
    <row r="11" spans="3:13" x14ac:dyDescent="0.25">
      <c r="K11" s="116"/>
    </row>
  </sheetData>
  <mergeCells count="4">
    <mergeCell ref="C2:H2"/>
    <mergeCell ref="D3:E3"/>
    <mergeCell ref="F3:G3"/>
    <mergeCell ref="K7:K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J25"/>
  <sheetViews>
    <sheetView tabSelected="1" workbookViewId="0">
      <selection activeCell="J25" sqref="J25"/>
    </sheetView>
  </sheetViews>
  <sheetFormatPr defaultRowHeight="15" x14ac:dyDescent="0.25"/>
  <cols>
    <col min="1" max="1" width="10.42578125" customWidth="1"/>
    <col min="2" max="2" width="20.5703125" customWidth="1"/>
    <col min="3" max="3" width="17.140625" customWidth="1"/>
    <col min="4" max="4" width="19.5703125" customWidth="1"/>
    <col min="5" max="5" width="13.28515625" customWidth="1"/>
    <col min="6" max="6" width="64.28515625" bestFit="1" customWidth="1"/>
    <col min="10" max="10" width="11.5703125" customWidth="1"/>
  </cols>
  <sheetData>
    <row r="1" spans="1:10" ht="15.75" x14ac:dyDescent="0.25">
      <c r="A1" s="2" t="s">
        <v>0</v>
      </c>
      <c r="B1" s="2" t="s">
        <v>1</v>
      </c>
      <c r="C1" s="2" t="s">
        <v>4</v>
      </c>
      <c r="D1" s="2" t="s">
        <v>2</v>
      </c>
      <c r="E1" s="2" t="s">
        <v>3</v>
      </c>
      <c r="F1" s="2" t="s">
        <v>5</v>
      </c>
    </row>
    <row r="2" spans="1:10" ht="15.75" thickBot="1" x14ac:dyDescent="0.3">
      <c r="A2" s="1">
        <v>390531</v>
      </c>
      <c r="B2" t="s">
        <v>6</v>
      </c>
      <c r="C2" t="s">
        <v>8</v>
      </c>
      <c r="D2" t="s">
        <v>12</v>
      </c>
      <c r="E2" s="3" t="s">
        <v>28</v>
      </c>
    </row>
    <row r="3" spans="1:10" x14ac:dyDescent="0.25">
      <c r="A3" s="1">
        <v>390532</v>
      </c>
      <c r="B3" t="s">
        <v>7</v>
      </c>
      <c r="C3" t="s">
        <v>9</v>
      </c>
      <c r="D3" t="s">
        <v>13</v>
      </c>
      <c r="E3" s="3" t="s">
        <v>29</v>
      </c>
      <c r="G3" s="82" t="s">
        <v>86</v>
      </c>
      <c r="H3" s="83"/>
      <c r="I3" s="83"/>
      <c r="J3" s="84"/>
    </row>
    <row r="4" spans="1:10" x14ac:dyDescent="0.25">
      <c r="A4" s="1">
        <v>390533</v>
      </c>
      <c r="B4" t="s">
        <v>6</v>
      </c>
      <c r="C4" t="s">
        <v>10</v>
      </c>
      <c r="D4" t="s">
        <v>14</v>
      </c>
      <c r="E4" s="3" t="s">
        <v>30</v>
      </c>
      <c r="G4" s="85"/>
      <c r="H4" s="86"/>
      <c r="I4" s="86"/>
      <c r="J4" s="87"/>
    </row>
    <row r="5" spans="1:10" x14ac:dyDescent="0.25">
      <c r="A5" s="1">
        <v>390534</v>
      </c>
      <c r="B5" t="s">
        <v>7</v>
      </c>
      <c r="C5" t="s">
        <v>9</v>
      </c>
      <c r="D5" t="s">
        <v>15</v>
      </c>
      <c r="E5" s="3" t="s">
        <v>29</v>
      </c>
      <c r="G5" s="85"/>
      <c r="H5" s="86"/>
      <c r="I5" s="86"/>
      <c r="J5" s="87"/>
    </row>
    <row r="6" spans="1:10" x14ac:dyDescent="0.25">
      <c r="A6" s="1">
        <v>390535</v>
      </c>
      <c r="B6" t="s">
        <v>6</v>
      </c>
      <c r="C6" t="s">
        <v>8</v>
      </c>
      <c r="D6" t="s">
        <v>16</v>
      </c>
      <c r="E6" s="3" t="s">
        <v>28</v>
      </c>
      <c r="G6" s="85"/>
      <c r="H6" s="86"/>
      <c r="I6" s="86"/>
      <c r="J6" s="87"/>
    </row>
    <row r="7" spans="1:10" ht="15.75" thickBot="1" x14ac:dyDescent="0.3">
      <c r="A7" s="1">
        <v>390536</v>
      </c>
      <c r="B7" t="s">
        <v>7</v>
      </c>
      <c r="C7" t="s">
        <v>11</v>
      </c>
      <c r="D7" t="s">
        <v>17</v>
      </c>
      <c r="E7" s="3" t="s">
        <v>30</v>
      </c>
      <c r="G7" s="88"/>
      <c r="H7" s="89"/>
      <c r="I7" s="89" t="str">
        <f>+TRIM(H7)</f>
        <v/>
      </c>
      <c r="J7" s="90"/>
    </row>
    <row r="8" spans="1:10" x14ac:dyDescent="0.25">
      <c r="A8" s="1">
        <v>390537</v>
      </c>
      <c r="B8" t="s">
        <v>6</v>
      </c>
      <c r="C8" t="s">
        <v>8</v>
      </c>
      <c r="D8" t="s">
        <v>18</v>
      </c>
      <c r="E8" s="3" t="s">
        <v>28</v>
      </c>
      <c r="I8" t="str">
        <f t="shared" ref="I8:I21" si="0">+TRIM(H8)</f>
        <v/>
      </c>
    </row>
    <row r="9" spans="1:10" x14ac:dyDescent="0.25">
      <c r="A9" s="1">
        <v>390538</v>
      </c>
      <c r="B9" t="s">
        <v>7</v>
      </c>
      <c r="C9" t="s">
        <v>10</v>
      </c>
      <c r="D9" t="s">
        <v>19</v>
      </c>
      <c r="E9" s="3" t="s">
        <v>30</v>
      </c>
      <c r="I9" t="str">
        <f t="shared" si="0"/>
        <v/>
      </c>
    </row>
    <row r="10" spans="1:10" x14ac:dyDescent="0.25">
      <c r="A10" s="1">
        <v>390539</v>
      </c>
      <c r="B10" t="s">
        <v>6</v>
      </c>
      <c r="C10" t="s">
        <v>11</v>
      </c>
      <c r="D10" t="s">
        <v>20</v>
      </c>
      <c r="E10" s="3" t="s">
        <v>30</v>
      </c>
      <c r="I10" t="str">
        <f t="shared" si="0"/>
        <v/>
      </c>
    </row>
    <row r="11" spans="1:10" x14ac:dyDescent="0.25">
      <c r="A11" s="1">
        <v>390540</v>
      </c>
      <c r="B11" t="s">
        <v>7</v>
      </c>
      <c r="C11" t="s">
        <v>10</v>
      </c>
      <c r="D11" t="s">
        <v>21</v>
      </c>
      <c r="E11" s="3" t="s">
        <v>30</v>
      </c>
      <c r="I11" t="str">
        <f t="shared" si="0"/>
        <v/>
      </c>
    </row>
    <row r="12" spans="1:10" x14ac:dyDescent="0.25">
      <c r="A12" s="1">
        <v>390541</v>
      </c>
      <c r="B12" t="s">
        <v>6</v>
      </c>
      <c r="C12" t="s">
        <v>61</v>
      </c>
      <c r="D12" t="s">
        <v>22</v>
      </c>
      <c r="E12" s="3" t="s">
        <v>29</v>
      </c>
      <c r="I12" t="str">
        <f t="shared" si="0"/>
        <v/>
      </c>
    </row>
    <row r="13" spans="1:10" x14ac:dyDescent="0.25">
      <c r="A13" s="1">
        <v>390542</v>
      </c>
      <c r="B13" t="s">
        <v>7</v>
      </c>
      <c r="C13" t="s">
        <v>10</v>
      </c>
      <c r="D13" t="s">
        <v>23</v>
      </c>
      <c r="E13" s="3" t="s">
        <v>28</v>
      </c>
      <c r="I13" t="str">
        <f t="shared" si="0"/>
        <v/>
      </c>
    </row>
    <row r="14" spans="1:10" x14ac:dyDescent="0.25">
      <c r="A14" s="1">
        <v>390543</v>
      </c>
      <c r="B14" t="s">
        <v>6</v>
      </c>
      <c r="C14" t="s">
        <v>61</v>
      </c>
      <c r="D14" t="s">
        <v>24</v>
      </c>
      <c r="E14" s="3" t="s">
        <v>30</v>
      </c>
      <c r="I14" t="str">
        <f t="shared" si="0"/>
        <v/>
      </c>
    </row>
    <row r="15" spans="1:10" x14ac:dyDescent="0.25">
      <c r="A15" s="1">
        <v>390544</v>
      </c>
      <c r="B15" t="s">
        <v>7</v>
      </c>
      <c r="C15" t="s">
        <v>8</v>
      </c>
      <c r="D15" t="s">
        <v>25</v>
      </c>
      <c r="E15" s="3" t="s">
        <v>28</v>
      </c>
      <c r="I15" t="str">
        <f t="shared" si="0"/>
        <v/>
      </c>
    </row>
    <row r="16" spans="1:10" x14ac:dyDescent="0.25">
      <c r="A16" s="1">
        <v>390545</v>
      </c>
      <c r="B16" t="s">
        <v>6</v>
      </c>
      <c r="C16" t="s">
        <v>9</v>
      </c>
      <c r="D16" t="s">
        <v>26</v>
      </c>
      <c r="E16" s="3" t="s">
        <v>30</v>
      </c>
      <c r="I16" t="str">
        <f t="shared" si="0"/>
        <v/>
      </c>
    </row>
    <row r="17" spans="1:9" x14ac:dyDescent="0.25">
      <c r="A17" s="1">
        <v>390546</v>
      </c>
      <c r="B17" t="s">
        <v>7</v>
      </c>
      <c r="C17" t="s">
        <v>11</v>
      </c>
      <c r="D17" t="s">
        <v>17</v>
      </c>
      <c r="E17" s="3" t="s">
        <v>29</v>
      </c>
      <c r="I17" t="str">
        <f t="shared" si="0"/>
        <v/>
      </c>
    </row>
    <row r="18" spans="1:9" x14ac:dyDescent="0.25">
      <c r="A18" s="1">
        <v>390547</v>
      </c>
      <c r="B18" t="s">
        <v>6</v>
      </c>
      <c r="C18" t="s">
        <v>9</v>
      </c>
      <c r="D18" t="s">
        <v>18</v>
      </c>
      <c r="E18" s="3" t="s">
        <v>30</v>
      </c>
      <c r="I18" t="str">
        <f t="shared" si="0"/>
        <v/>
      </c>
    </row>
    <row r="19" spans="1:9" x14ac:dyDescent="0.25">
      <c r="A19" s="1">
        <v>390548</v>
      </c>
      <c r="B19" t="s">
        <v>7</v>
      </c>
      <c r="C19" t="s">
        <v>8</v>
      </c>
      <c r="D19" t="s">
        <v>19</v>
      </c>
      <c r="E19" s="3" t="s">
        <v>30</v>
      </c>
      <c r="I19" t="str">
        <f t="shared" si="0"/>
        <v/>
      </c>
    </row>
    <row r="20" spans="1:9" x14ac:dyDescent="0.25">
      <c r="A20" s="1">
        <v>390549</v>
      </c>
      <c r="B20" t="s">
        <v>6</v>
      </c>
      <c r="C20" t="s">
        <v>9</v>
      </c>
      <c r="D20" t="s">
        <v>20</v>
      </c>
      <c r="E20" s="3" t="s">
        <v>29</v>
      </c>
      <c r="I20" t="str">
        <f t="shared" si="0"/>
        <v/>
      </c>
    </row>
    <row r="21" spans="1:9" x14ac:dyDescent="0.25">
      <c r="A21" s="1">
        <v>390550</v>
      </c>
      <c r="B21" t="s">
        <v>7</v>
      </c>
      <c r="C21" t="s">
        <v>10</v>
      </c>
      <c r="D21" t="s">
        <v>13</v>
      </c>
      <c r="E21" s="3" t="s">
        <v>30</v>
      </c>
      <c r="I21" t="str">
        <f t="shared" si="0"/>
        <v/>
      </c>
    </row>
    <row r="22" spans="1:9" x14ac:dyDescent="0.25">
      <c r="A22" s="1">
        <v>390551</v>
      </c>
      <c r="B22" t="s">
        <v>6</v>
      </c>
      <c r="C22" t="s">
        <v>8</v>
      </c>
      <c r="D22" t="s">
        <v>14</v>
      </c>
      <c r="E22" s="3" t="s">
        <v>28</v>
      </c>
    </row>
    <row r="23" spans="1:9" x14ac:dyDescent="0.25">
      <c r="A23" s="1">
        <v>390552</v>
      </c>
      <c r="B23" t="s">
        <v>7</v>
      </c>
      <c r="C23" t="s">
        <v>61</v>
      </c>
      <c r="D23" t="s">
        <v>15</v>
      </c>
      <c r="E23" s="3" t="s">
        <v>30</v>
      </c>
    </row>
    <row r="24" spans="1:9" x14ac:dyDescent="0.25">
      <c r="A24" s="1">
        <v>390553</v>
      </c>
      <c r="B24" t="s">
        <v>6</v>
      </c>
      <c r="C24" t="s">
        <v>27</v>
      </c>
      <c r="D24" t="s">
        <v>13</v>
      </c>
      <c r="E24" s="3" t="s">
        <v>28</v>
      </c>
    </row>
    <row r="25" spans="1:9" x14ac:dyDescent="0.25">
      <c r="A25" s="1">
        <v>390554</v>
      </c>
      <c r="B25" t="s">
        <v>7</v>
      </c>
      <c r="C25" t="s">
        <v>8</v>
      </c>
      <c r="D25" t="s">
        <v>14</v>
      </c>
      <c r="E25" s="3" t="s">
        <v>29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6" r:id="rId4" name="CommandButton1">
          <controlPr defaultSize="0" autoLine="0" r:id="rId5">
            <anchor moveWithCells="1">
              <from>
                <xdr:col>7</xdr:col>
                <xdr:colOff>57150</xdr:colOff>
                <xdr:row>4</xdr:row>
                <xdr:rowOff>38100</xdr:rowOff>
              </from>
              <to>
                <xdr:col>8</xdr:col>
                <xdr:colOff>495300</xdr:colOff>
                <xdr:row>5</xdr:row>
                <xdr:rowOff>114300</xdr:rowOff>
              </to>
            </anchor>
          </controlPr>
        </control>
      </mc:Choice>
      <mc:Fallback>
        <control shapeId="1026" r:id="rId4"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K100"/>
  <sheetViews>
    <sheetView workbookViewId="0">
      <selection activeCell="N23" sqref="N23"/>
    </sheetView>
  </sheetViews>
  <sheetFormatPr defaultRowHeight="15" x14ac:dyDescent="0.25"/>
  <cols>
    <col min="2" max="2" width="19.5703125" hidden="1" customWidth="1"/>
    <col min="3" max="3" width="19.140625" hidden="1" customWidth="1"/>
    <col min="4" max="4" width="13.28515625" hidden="1" customWidth="1"/>
    <col min="5" max="5" width="12.28515625" hidden="1" customWidth="1"/>
    <col min="6" max="6" width="16.85546875" customWidth="1"/>
    <col min="7" max="7" width="14.85546875" bestFit="1" customWidth="1"/>
    <col min="8" max="8" width="17.42578125" customWidth="1"/>
    <col min="9" max="9" width="18.7109375" hidden="1" customWidth="1"/>
    <col min="10" max="10" width="25.28515625" customWidth="1"/>
    <col min="11" max="11" width="21.5703125" customWidth="1"/>
  </cols>
  <sheetData>
    <row r="1" spans="1:11" ht="18" customHeight="1" x14ac:dyDescent="0.25">
      <c r="A1" s="81" t="s">
        <v>0</v>
      </c>
      <c r="B1" s="81" t="s">
        <v>52</v>
      </c>
      <c r="C1" s="81" t="s">
        <v>53</v>
      </c>
      <c r="D1" s="81" t="s">
        <v>54</v>
      </c>
      <c r="E1" s="81" t="s">
        <v>60</v>
      </c>
      <c r="F1" s="81" t="s">
        <v>4</v>
      </c>
      <c r="G1" s="81" t="s">
        <v>81</v>
      </c>
      <c r="H1" s="81" t="s">
        <v>57</v>
      </c>
      <c r="I1" s="81" t="s">
        <v>55</v>
      </c>
      <c r="J1" s="81" t="s">
        <v>56</v>
      </c>
      <c r="K1" s="81" t="s">
        <v>85</v>
      </c>
    </row>
    <row r="2" spans="1:11" x14ac:dyDescent="0.25">
      <c r="A2" s="1">
        <v>390531</v>
      </c>
      <c r="B2" t="s">
        <v>6</v>
      </c>
      <c r="C2" t="s">
        <v>12</v>
      </c>
      <c r="D2" t="s">
        <v>31</v>
      </c>
      <c r="E2" t="s">
        <v>62</v>
      </c>
      <c r="F2" s="73" t="s">
        <v>8</v>
      </c>
      <c r="G2" s="73" t="s">
        <v>82</v>
      </c>
      <c r="H2" s="80">
        <v>43600</v>
      </c>
      <c r="I2" s="6">
        <v>43650</v>
      </c>
      <c r="J2" s="91">
        <v>43606</v>
      </c>
      <c r="K2" t="str">
        <f ca="1">IF(AND(F2&lt;&gt;"Initiation",F2&lt;&gt;"Estimation",F2&lt;&gt;"Implementation",G2&lt;&gt;"On-Hold",H2&lt;TODAY()),"Missed Phase End Date","OK")</f>
        <v>Missed Phase End Date</v>
      </c>
    </row>
    <row r="3" spans="1:11" x14ac:dyDescent="0.25">
      <c r="A3" s="1">
        <v>390532</v>
      </c>
      <c r="B3" t="s">
        <v>7</v>
      </c>
      <c r="C3" t="s">
        <v>13</v>
      </c>
      <c r="D3" t="s">
        <v>32</v>
      </c>
      <c r="E3" t="s">
        <v>63</v>
      </c>
      <c r="F3" s="73" t="s">
        <v>9</v>
      </c>
      <c r="G3" s="73" t="s">
        <v>83</v>
      </c>
      <c r="H3" s="80">
        <v>43601</v>
      </c>
      <c r="I3" s="6">
        <v>43651</v>
      </c>
      <c r="J3" s="91">
        <v>43607</v>
      </c>
      <c r="K3" t="str">
        <f t="shared" ref="K3:K66" ca="1" si="0">IF(AND(F3&lt;&gt;"Initiation",F3&lt;&gt;"Estimation",F3&lt;&gt;"Implementation",G3&lt;&gt;"On-Hold",H3&lt;TODAY()),"Missed Phase End Date","OK")</f>
        <v>OK</v>
      </c>
    </row>
    <row r="4" spans="1:11" x14ac:dyDescent="0.25">
      <c r="A4" s="1">
        <v>390533</v>
      </c>
      <c r="B4" t="s">
        <v>6</v>
      </c>
      <c r="C4" t="s">
        <v>14</v>
      </c>
      <c r="D4" t="s">
        <v>33</v>
      </c>
      <c r="E4" t="s">
        <v>64</v>
      </c>
      <c r="F4" s="73" t="s">
        <v>10</v>
      </c>
      <c r="G4" s="73" t="s">
        <v>82</v>
      </c>
      <c r="H4" s="80">
        <v>43602</v>
      </c>
      <c r="I4" s="6">
        <v>43652</v>
      </c>
      <c r="J4" s="91">
        <v>43608</v>
      </c>
      <c r="K4" t="str">
        <f t="shared" ca="1" si="0"/>
        <v>Missed Phase End Date</v>
      </c>
    </row>
    <row r="5" spans="1:11" x14ac:dyDescent="0.25">
      <c r="A5" s="1">
        <v>390534</v>
      </c>
      <c r="B5" t="s">
        <v>7</v>
      </c>
      <c r="C5" t="s">
        <v>15</v>
      </c>
      <c r="D5" t="s">
        <v>31</v>
      </c>
      <c r="E5" t="s">
        <v>63</v>
      </c>
      <c r="F5" s="73" t="s">
        <v>84</v>
      </c>
      <c r="G5" s="73" t="s">
        <v>82</v>
      </c>
      <c r="H5" s="80">
        <v>43603</v>
      </c>
      <c r="I5" s="6">
        <v>43653</v>
      </c>
      <c r="J5" s="91">
        <v>43609</v>
      </c>
      <c r="K5" t="str">
        <f t="shared" ca="1" si="0"/>
        <v>OK</v>
      </c>
    </row>
    <row r="6" spans="1:11" x14ac:dyDescent="0.25">
      <c r="A6" s="1">
        <v>390535</v>
      </c>
      <c r="B6" t="s">
        <v>6</v>
      </c>
      <c r="C6" t="s">
        <v>16</v>
      </c>
      <c r="D6" t="s">
        <v>32</v>
      </c>
      <c r="E6" t="s">
        <v>64</v>
      </c>
      <c r="F6" s="73" t="s">
        <v>8</v>
      </c>
      <c r="G6" s="73" t="s">
        <v>83</v>
      </c>
      <c r="H6" s="80">
        <v>43604</v>
      </c>
      <c r="I6" s="6">
        <v>43654</v>
      </c>
      <c r="J6" s="91">
        <v>43610</v>
      </c>
      <c r="K6" t="str">
        <f t="shared" ca="1" si="0"/>
        <v>OK</v>
      </c>
    </row>
    <row r="7" spans="1:11" x14ac:dyDescent="0.25">
      <c r="A7" s="1">
        <v>390536</v>
      </c>
      <c r="B7" t="s">
        <v>7</v>
      </c>
      <c r="C7" t="s">
        <v>17</v>
      </c>
      <c r="D7" t="s">
        <v>33</v>
      </c>
      <c r="E7" t="s">
        <v>62</v>
      </c>
      <c r="F7" s="73" t="s">
        <v>11</v>
      </c>
      <c r="G7" s="73" t="s">
        <v>82</v>
      </c>
      <c r="H7" s="80">
        <v>43605</v>
      </c>
      <c r="I7" s="6">
        <v>43655</v>
      </c>
      <c r="J7" s="91">
        <v>43611</v>
      </c>
      <c r="K7" t="str">
        <f t="shared" ca="1" si="0"/>
        <v>OK</v>
      </c>
    </row>
    <row r="8" spans="1:11" x14ac:dyDescent="0.25">
      <c r="A8" s="1">
        <v>390537</v>
      </c>
      <c r="B8" t="s">
        <v>6</v>
      </c>
      <c r="C8" t="s">
        <v>18</v>
      </c>
      <c r="D8" t="s">
        <v>31</v>
      </c>
      <c r="E8" t="s">
        <v>64</v>
      </c>
      <c r="F8" s="73" t="s">
        <v>8</v>
      </c>
      <c r="G8" s="73" t="s">
        <v>82</v>
      </c>
      <c r="H8" s="80">
        <v>43606</v>
      </c>
      <c r="I8" s="6">
        <v>43656</v>
      </c>
      <c r="J8" s="91">
        <v>43612</v>
      </c>
      <c r="K8" t="str">
        <f t="shared" ca="1" si="0"/>
        <v>Missed Phase End Date</v>
      </c>
    </row>
    <row r="9" spans="1:11" x14ac:dyDescent="0.25">
      <c r="A9" s="1">
        <v>390538</v>
      </c>
      <c r="B9" t="s">
        <v>7</v>
      </c>
      <c r="C9" t="s">
        <v>19</v>
      </c>
      <c r="D9" t="s">
        <v>32</v>
      </c>
      <c r="E9" t="s">
        <v>63</v>
      </c>
      <c r="F9" s="73" t="s">
        <v>10</v>
      </c>
      <c r="G9" s="73" t="s">
        <v>82</v>
      </c>
      <c r="H9" s="80">
        <v>43607</v>
      </c>
      <c r="I9" s="6">
        <v>43657</v>
      </c>
      <c r="J9" s="91">
        <v>43613</v>
      </c>
      <c r="K9" t="str">
        <f t="shared" ca="1" si="0"/>
        <v>Missed Phase End Date</v>
      </c>
    </row>
    <row r="10" spans="1:11" x14ac:dyDescent="0.25">
      <c r="A10" s="1">
        <v>390539</v>
      </c>
      <c r="B10" t="s">
        <v>6</v>
      </c>
      <c r="C10" t="s">
        <v>20</v>
      </c>
      <c r="D10" t="s">
        <v>33</v>
      </c>
      <c r="E10" t="s">
        <v>62</v>
      </c>
      <c r="F10" s="73" t="s">
        <v>11</v>
      </c>
      <c r="G10" s="73" t="s">
        <v>82</v>
      </c>
      <c r="H10" s="80">
        <v>43608</v>
      </c>
      <c r="I10" s="6">
        <v>43610</v>
      </c>
      <c r="J10" s="91">
        <v>43614</v>
      </c>
      <c r="K10" t="str">
        <f t="shared" ca="1" si="0"/>
        <v>OK</v>
      </c>
    </row>
    <row r="11" spans="1:11" x14ac:dyDescent="0.25">
      <c r="A11" s="1">
        <v>390540</v>
      </c>
      <c r="B11" t="s">
        <v>7</v>
      </c>
      <c r="C11" t="s">
        <v>21</v>
      </c>
      <c r="D11" t="s">
        <v>31</v>
      </c>
      <c r="E11" t="s">
        <v>62</v>
      </c>
      <c r="F11" s="73" t="s">
        <v>10</v>
      </c>
      <c r="G11" s="73" t="s">
        <v>82</v>
      </c>
      <c r="H11" s="80">
        <v>43609</v>
      </c>
      <c r="I11" s="6">
        <v>43611</v>
      </c>
      <c r="J11" s="91">
        <v>43615</v>
      </c>
      <c r="K11" t="str">
        <f t="shared" ca="1" si="0"/>
        <v>Missed Phase End Date</v>
      </c>
    </row>
    <row r="12" spans="1:11" x14ac:dyDescent="0.25">
      <c r="A12" s="1">
        <v>390541</v>
      </c>
      <c r="B12" t="s">
        <v>6</v>
      </c>
      <c r="C12" t="s">
        <v>22</v>
      </c>
      <c r="D12" t="s">
        <v>32</v>
      </c>
      <c r="E12" t="s">
        <v>63</v>
      </c>
      <c r="F12" s="73" t="s">
        <v>61</v>
      </c>
      <c r="G12" s="73" t="s">
        <v>82</v>
      </c>
      <c r="H12" s="80">
        <v>43610</v>
      </c>
      <c r="I12" s="6">
        <v>43612</v>
      </c>
      <c r="J12" s="91">
        <v>43616</v>
      </c>
      <c r="K12" t="str">
        <f t="shared" ca="1" si="0"/>
        <v>OK</v>
      </c>
    </row>
    <row r="13" spans="1:11" x14ac:dyDescent="0.25">
      <c r="A13" s="1">
        <v>390542</v>
      </c>
      <c r="B13" t="s">
        <v>7</v>
      </c>
      <c r="C13" t="s">
        <v>23</v>
      </c>
      <c r="D13" t="s">
        <v>33</v>
      </c>
      <c r="E13" t="s">
        <v>64</v>
      </c>
      <c r="F13" s="73" t="s">
        <v>10</v>
      </c>
      <c r="G13" s="73" t="s">
        <v>82</v>
      </c>
      <c r="H13" s="80">
        <v>43611</v>
      </c>
      <c r="I13" s="6">
        <v>43613</v>
      </c>
      <c r="J13" s="91">
        <v>43617</v>
      </c>
      <c r="K13" t="str">
        <f t="shared" ca="1" si="0"/>
        <v>Missed Phase End Date</v>
      </c>
    </row>
    <row r="14" spans="1:11" x14ac:dyDescent="0.25">
      <c r="A14" s="1">
        <v>390543</v>
      </c>
      <c r="B14" t="s">
        <v>6</v>
      </c>
      <c r="C14" t="s">
        <v>24</v>
      </c>
      <c r="D14" t="s">
        <v>31</v>
      </c>
      <c r="E14" t="s">
        <v>63</v>
      </c>
      <c r="F14" s="73" t="s">
        <v>61</v>
      </c>
      <c r="G14" s="73" t="s">
        <v>82</v>
      </c>
      <c r="H14" s="80">
        <v>43612</v>
      </c>
      <c r="I14" s="6">
        <v>43614</v>
      </c>
      <c r="J14" s="91">
        <v>43618</v>
      </c>
      <c r="K14" t="str">
        <f t="shared" ca="1" si="0"/>
        <v>OK</v>
      </c>
    </row>
    <row r="15" spans="1:11" x14ac:dyDescent="0.25">
      <c r="A15" s="1">
        <v>390544</v>
      </c>
      <c r="B15" t="s">
        <v>7</v>
      </c>
      <c r="C15" t="s">
        <v>25</v>
      </c>
      <c r="D15" t="s">
        <v>32</v>
      </c>
      <c r="E15" t="s">
        <v>64</v>
      </c>
      <c r="F15" s="73" t="s">
        <v>8</v>
      </c>
      <c r="G15" s="73" t="s">
        <v>83</v>
      </c>
      <c r="H15" s="80">
        <v>43613</v>
      </c>
      <c r="I15" s="6">
        <v>43615</v>
      </c>
      <c r="J15" s="91">
        <v>43619</v>
      </c>
      <c r="K15" t="str">
        <f t="shared" ca="1" si="0"/>
        <v>OK</v>
      </c>
    </row>
    <row r="16" spans="1:11" x14ac:dyDescent="0.25">
      <c r="A16" s="1">
        <v>390545</v>
      </c>
      <c r="B16" t="s">
        <v>6</v>
      </c>
      <c r="C16" t="s">
        <v>26</v>
      </c>
      <c r="D16" t="s">
        <v>33</v>
      </c>
      <c r="E16" t="s">
        <v>62</v>
      </c>
      <c r="F16" s="73" t="s">
        <v>9</v>
      </c>
      <c r="G16" s="73" t="s">
        <v>82</v>
      </c>
      <c r="H16" s="80">
        <v>43614</v>
      </c>
      <c r="I16" s="6">
        <v>43616</v>
      </c>
      <c r="J16" s="91">
        <v>43620</v>
      </c>
      <c r="K16" t="str">
        <f t="shared" ca="1" si="0"/>
        <v>Missed Phase End Date</v>
      </c>
    </row>
    <row r="17" spans="1:11" x14ac:dyDescent="0.25">
      <c r="A17" s="1">
        <v>390546</v>
      </c>
      <c r="B17" t="s">
        <v>7</v>
      </c>
      <c r="C17" t="s">
        <v>17</v>
      </c>
      <c r="D17" t="s">
        <v>33</v>
      </c>
      <c r="E17" t="s">
        <v>64</v>
      </c>
      <c r="F17" s="73" t="s">
        <v>11</v>
      </c>
      <c r="G17" s="73" t="s">
        <v>82</v>
      </c>
      <c r="H17" s="80">
        <v>43615</v>
      </c>
      <c r="I17" s="6">
        <v>43617</v>
      </c>
      <c r="J17" s="91">
        <v>43621</v>
      </c>
      <c r="K17" t="str">
        <f t="shared" ca="1" si="0"/>
        <v>OK</v>
      </c>
    </row>
    <row r="18" spans="1:11" x14ac:dyDescent="0.25">
      <c r="A18" s="1">
        <v>390547</v>
      </c>
      <c r="B18" t="s">
        <v>6</v>
      </c>
      <c r="C18" t="s">
        <v>18</v>
      </c>
      <c r="D18" t="s">
        <v>31</v>
      </c>
      <c r="E18" t="s">
        <v>63</v>
      </c>
      <c r="F18" s="73" t="s">
        <v>9</v>
      </c>
      <c r="G18" s="73" t="s">
        <v>82</v>
      </c>
      <c r="H18" s="80">
        <v>43616</v>
      </c>
      <c r="I18" s="6">
        <v>43618</v>
      </c>
      <c r="J18" s="91">
        <v>43622</v>
      </c>
      <c r="K18" t="str">
        <f t="shared" ca="1" si="0"/>
        <v>Missed Phase End Date</v>
      </c>
    </row>
    <row r="19" spans="1:11" x14ac:dyDescent="0.25">
      <c r="A19" s="1">
        <v>390548</v>
      </c>
      <c r="B19" t="s">
        <v>7</v>
      </c>
      <c r="C19" t="s">
        <v>19</v>
      </c>
      <c r="D19" t="s">
        <v>32</v>
      </c>
      <c r="E19" t="s">
        <v>62</v>
      </c>
      <c r="F19" s="73" t="s">
        <v>8</v>
      </c>
      <c r="G19" s="73" t="s">
        <v>82</v>
      </c>
      <c r="H19" s="80">
        <v>43617</v>
      </c>
      <c r="I19" s="6">
        <v>43619</v>
      </c>
      <c r="J19" s="91">
        <v>43623</v>
      </c>
      <c r="K19" t="str">
        <f t="shared" ca="1" si="0"/>
        <v>Missed Phase End Date</v>
      </c>
    </row>
    <row r="20" spans="1:11" x14ac:dyDescent="0.25">
      <c r="A20" s="1">
        <v>390549</v>
      </c>
      <c r="B20" t="s">
        <v>6</v>
      </c>
      <c r="C20" t="s">
        <v>20</v>
      </c>
      <c r="D20" t="s">
        <v>33</v>
      </c>
      <c r="E20" t="s">
        <v>62</v>
      </c>
      <c r="F20" s="73" t="s">
        <v>9</v>
      </c>
      <c r="G20" s="73" t="s">
        <v>82</v>
      </c>
      <c r="H20" s="80">
        <v>43618</v>
      </c>
      <c r="I20" s="6">
        <v>43620</v>
      </c>
      <c r="J20" s="91">
        <v>43624</v>
      </c>
      <c r="K20" t="str">
        <f t="shared" ca="1" si="0"/>
        <v>Missed Phase End Date</v>
      </c>
    </row>
    <row r="21" spans="1:11" x14ac:dyDescent="0.25">
      <c r="A21" s="1">
        <v>390550</v>
      </c>
      <c r="B21" t="s">
        <v>7</v>
      </c>
      <c r="C21" t="s">
        <v>13</v>
      </c>
      <c r="D21" t="s">
        <v>32</v>
      </c>
      <c r="E21" t="s">
        <v>63</v>
      </c>
      <c r="F21" s="73" t="s">
        <v>10</v>
      </c>
      <c r="G21" s="73" t="s">
        <v>82</v>
      </c>
      <c r="H21" s="80">
        <v>43619</v>
      </c>
      <c r="I21" s="6">
        <v>43621</v>
      </c>
      <c r="J21" s="91">
        <v>43625</v>
      </c>
      <c r="K21" t="str">
        <f t="shared" ca="1" si="0"/>
        <v>Missed Phase End Date</v>
      </c>
    </row>
    <row r="22" spans="1:11" x14ac:dyDescent="0.25">
      <c r="A22" s="1">
        <v>390551</v>
      </c>
      <c r="B22" t="s">
        <v>6</v>
      </c>
      <c r="C22" t="s">
        <v>14</v>
      </c>
      <c r="D22" t="s">
        <v>33</v>
      </c>
      <c r="E22" t="s">
        <v>64</v>
      </c>
      <c r="F22" s="73" t="s">
        <v>8</v>
      </c>
      <c r="G22" s="73" t="s">
        <v>82</v>
      </c>
      <c r="H22" s="80">
        <v>43620</v>
      </c>
      <c r="I22" s="6">
        <v>43622</v>
      </c>
      <c r="J22" s="91">
        <v>43626</v>
      </c>
      <c r="K22" t="str">
        <f t="shared" ca="1" si="0"/>
        <v>Missed Phase End Date</v>
      </c>
    </row>
    <row r="23" spans="1:11" x14ac:dyDescent="0.25">
      <c r="A23" s="1">
        <v>390552</v>
      </c>
      <c r="B23" t="s">
        <v>7</v>
      </c>
      <c r="C23" t="s">
        <v>15</v>
      </c>
      <c r="D23" t="s">
        <v>31</v>
      </c>
      <c r="E23" t="s">
        <v>63</v>
      </c>
      <c r="F23" s="73" t="s">
        <v>61</v>
      </c>
      <c r="G23" s="73" t="s">
        <v>83</v>
      </c>
      <c r="H23" s="80">
        <v>43621</v>
      </c>
      <c r="I23" s="6">
        <v>43623</v>
      </c>
      <c r="J23" s="91">
        <v>43627</v>
      </c>
      <c r="K23" t="str">
        <f t="shared" ca="1" si="0"/>
        <v>OK</v>
      </c>
    </row>
    <row r="24" spans="1:11" x14ac:dyDescent="0.25">
      <c r="A24" s="1">
        <v>390553</v>
      </c>
      <c r="B24" t="s">
        <v>6</v>
      </c>
      <c r="C24" t="s">
        <v>13</v>
      </c>
      <c r="D24" t="s">
        <v>32</v>
      </c>
      <c r="E24" t="s">
        <v>64</v>
      </c>
      <c r="F24" s="73" t="s">
        <v>27</v>
      </c>
      <c r="G24" s="73" t="s">
        <v>82</v>
      </c>
      <c r="H24" s="80">
        <v>43622</v>
      </c>
      <c r="I24" s="6">
        <v>43624</v>
      </c>
      <c r="J24" s="91">
        <v>43628</v>
      </c>
      <c r="K24" t="str">
        <f t="shared" ca="1" si="0"/>
        <v>Missed Phase End Date</v>
      </c>
    </row>
    <row r="25" spans="1:11" x14ac:dyDescent="0.25">
      <c r="A25" s="1">
        <v>390554</v>
      </c>
      <c r="B25" t="s">
        <v>7</v>
      </c>
      <c r="C25" t="s">
        <v>14</v>
      </c>
      <c r="D25" t="s">
        <v>33</v>
      </c>
      <c r="E25" t="s">
        <v>62</v>
      </c>
      <c r="F25" s="73" t="s">
        <v>8</v>
      </c>
      <c r="G25" s="73" t="s">
        <v>82</v>
      </c>
      <c r="H25" s="80">
        <v>43623</v>
      </c>
      <c r="I25" s="6">
        <v>43625</v>
      </c>
      <c r="J25" s="91">
        <v>43629</v>
      </c>
      <c r="K25" t="str">
        <f t="shared" ca="1" si="0"/>
        <v>Missed Phase End Date</v>
      </c>
    </row>
    <row r="26" spans="1:11" x14ac:dyDescent="0.25">
      <c r="A26" s="1">
        <v>390555</v>
      </c>
      <c r="B26" t="s">
        <v>7</v>
      </c>
      <c r="C26" t="s">
        <v>12</v>
      </c>
      <c r="D26" t="s">
        <v>31</v>
      </c>
      <c r="E26" t="s">
        <v>64</v>
      </c>
      <c r="F26" s="73" t="s">
        <v>8</v>
      </c>
      <c r="G26" s="73" t="s">
        <v>82</v>
      </c>
      <c r="H26" s="80">
        <v>43624</v>
      </c>
      <c r="I26" s="6">
        <v>43626</v>
      </c>
      <c r="J26" s="91">
        <v>43630</v>
      </c>
      <c r="K26" t="str">
        <f t="shared" ca="1" si="0"/>
        <v>Missed Phase End Date</v>
      </c>
    </row>
    <row r="27" spans="1:11" x14ac:dyDescent="0.25">
      <c r="A27" s="1">
        <v>390556</v>
      </c>
      <c r="B27" t="s">
        <v>6</v>
      </c>
      <c r="C27" t="s">
        <v>13</v>
      </c>
      <c r="D27" t="s">
        <v>32</v>
      </c>
      <c r="E27" t="s">
        <v>63</v>
      </c>
      <c r="F27" s="73" t="s">
        <v>9</v>
      </c>
      <c r="G27" s="73" t="s">
        <v>82</v>
      </c>
      <c r="H27" s="80">
        <v>43625</v>
      </c>
      <c r="I27" s="6">
        <v>43627</v>
      </c>
      <c r="J27" s="91">
        <v>43631</v>
      </c>
      <c r="K27" t="str">
        <f t="shared" ca="1" si="0"/>
        <v>Missed Phase End Date</v>
      </c>
    </row>
    <row r="28" spans="1:11" x14ac:dyDescent="0.25">
      <c r="A28" s="1">
        <v>390557</v>
      </c>
      <c r="B28" t="s">
        <v>7</v>
      </c>
      <c r="C28" t="s">
        <v>14</v>
      </c>
      <c r="D28" t="s">
        <v>33</v>
      </c>
      <c r="E28" t="s">
        <v>62</v>
      </c>
      <c r="F28" s="73" t="s">
        <v>10</v>
      </c>
      <c r="G28" s="73" t="s">
        <v>82</v>
      </c>
      <c r="H28" s="80">
        <v>43626</v>
      </c>
      <c r="I28" s="6">
        <v>43628</v>
      </c>
      <c r="J28" s="91">
        <v>43632</v>
      </c>
      <c r="K28" t="str">
        <f t="shared" ca="1" si="0"/>
        <v>Missed Phase End Date</v>
      </c>
    </row>
    <row r="29" spans="1:11" x14ac:dyDescent="0.25">
      <c r="A29" s="1">
        <v>390558</v>
      </c>
      <c r="B29" t="s">
        <v>6</v>
      </c>
      <c r="C29" t="s">
        <v>15</v>
      </c>
      <c r="D29" t="s">
        <v>31</v>
      </c>
      <c r="E29" t="s">
        <v>62</v>
      </c>
      <c r="F29" s="73" t="s">
        <v>9</v>
      </c>
      <c r="G29" s="73" t="s">
        <v>82</v>
      </c>
      <c r="H29" s="80">
        <v>43627</v>
      </c>
      <c r="I29" s="6">
        <v>43629</v>
      </c>
      <c r="J29" s="91">
        <v>43633</v>
      </c>
      <c r="K29" t="str">
        <f t="shared" ca="1" si="0"/>
        <v>Missed Phase End Date</v>
      </c>
    </row>
    <row r="30" spans="1:11" x14ac:dyDescent="0.25">
      <c r="A30" s="1">
        <v>390559</v>
      </c>
      <c r="B30" t="s">
        <v>7</v>
      </c>
      <c r="C30" t="s">
        <v>16</v>
      </c>
      <c r="D30" t="s">
        <v>32</v>
      </c>
      <c r="E30" t="s">
        <v>63</v>
      </c>
      <c r="F30" s="73" t="s">
        <v>8</v>
      </c>
      <c r="G30" s="73" t="s">
        <v>83</v>
      </c>
      <c r="H30" s="80">
        <v>43628</v>
      </c>
      <c r="I30" s="6">
        <v>43630</v>
      </c>
      <c r="J30" s="91">
        <v>43634</v>
      </c>
      <c r="K30" t="str">
        <f t="shared" ca="1" si="0"/>
        <v>OK</v>
      </c>
    </row>
    <row r="31" spans="1:11" x14ac:dyDescent="0.25">
      <c r="A31" s="1">
        <v>390560</v>
      </c>
      <c r="B31" t="s">
        <v>6</v>
      </c>
      <c r="C31" t="s">
        <v>17</v>
      </c>
      <c r="D31" t="s">
        <v>33</v>
      </c>
      <c r="E31" t="s">
        <v>64</v>
      </c>
      <c r="F31" s="73" t="s">
        <v>11</v>
      </c>
      <c r="G31" s="73" t="s">
        <v>82</v>
      </c>
      <c r="H31" s="80">
        <v>43629</v>
      </c>
      <c r="I31" s="6">
        <v>43641</v>
      </c>
      <c r="J31" s="91">
        <v>43635</v>
      </c>
      <c r="K31" t="str">
        <f t="shared" ca="1" si="0"/>
        <v>OK</v>
      </c>
    </row>
    <row r="32" spans="1:11" x14ac:dyDescent="0.25">
      <c r="A32" s="1">
        <v>390561</v>
      </c>
      <c r="B32" t="s">
        <v>7</v>
      </c>
      <c r="C32" t="s">
        <v>18</v>
      </c>
      <c r="D32" t="s">
        <v>31</v>
      </c>
      <c r="E32" t="s">
        <v>63</v>
      </c>
      <c r="F32" s="73" t="s">
        <v>8</v>
      </c>
      <c r="G32" s="73" t="s">
        <v>82</v>
      </c>
      <c r="H32" s="80">
        <v>43630</v>
      </c>
      <c r="I32" s="6">
        <v>43642</v>
      </c>
      <c r="J32" s="91">
        <v>43636</v>
      </c>
      <c r="K32" t="str">
        <f t="shared" ca="1" si="0"/>
        <v>Missed Phase End Date</v>
      </c>
    </row>
    <row r="33" spans="1:11" x14ac:dyDescent="0.25">
      <c r="A33" s="1">
        <v>390562</v>
      </c>
      <c r="B33" t="s">
        <v>6</v>
      </c>
      <c r="C33" t="s">
        <v>19</v>
      </c>
      <c r="D33" t="s">
        <v>32</v>
      </c>
      <c r="E33" t="s">
        <v>64</v>
      </c>
      <c r="F33" s="73" t="s">
        <v>10</v>
      </c>
      <c r="G33" s="73" t="s">
        <v>82</v>
      </c>
      <c r="H33" s="80">
        <v>43631</v>
      </c>
      <c r="I33" s="6">
        <v>43643</v>
      </c>
      <c r="J33" s="91">
        <v>43637</v>
      </c>
      <c r="K33" t="str">
        <f t="shared" ca="1" si="0"/>
        <v>Missed Phase End Date</v>
      </c>
    </row>
    <row r="34" spans="1:11" x14ac:dyDescent="0.25">
      <c r="A34" s="1">
        <v>390563</v>
      </c>
      <c r="B34" t="s">
        <v>7</v>
      </c>
      <c r="C34" t="s">
        <v>20</v>
      </c>
      <c r="D34" t="s">
        <v>33</v>
      </c>
      <c r="E34" t="s">
        <v>62</v>
      </c>
      <c r="F34" s="73" t="s">
        <v>11</v>
      </c>
      <c r="G34" s="73" t="s">
        <v>82</v>
      </c>
      <c r="H34" s="80">
        <v>43632</v>
      </c>
      <c r="I34" s="6">
        <v>43644</v>
      </c>
      <c r="J34" s="91">
        <v>43638</v>
      </c>
      <c r="K34" t="str">
        <f t="shared" ca="1" si="0"/>
        <v>OK</v>
      </c>
    </row>
    <row r="35" spans="1:11" x14ac:dyDescent="0.25">
      <c r="A35" s="1">
        <v>390564</v>
      </c>
      <c r="B35" t="s">
        <v>6</v>
      </c>
      <c r="C35" t="s">
        <v>21</v>
      </c>
      <c r="D35" t="s">
        <v>31</v>
      </c>
      <c r="E35" t="s">
        <v>64</v>
      </c>
      <c r="F35" s="73" t="s">
        <v>10</v>
      </c>
      <c r="G35" s="73" t="s">
        <v>82</v>
      </c>
      <c r="H35" s="80">
        <v>43633</v>
      </c>
      <c r="I35" s="6">
        <v>43645</v>
      </c>
      <c r="J35" s="91">
        <v>43639</v>
      </c>
      <c r="K35" t="str">
        <f t="shared" ca="1" si="0"/>
        <v>Missed Phase End Date</v>
      </c>
    </row>
    <row r="36" spans="1:11" x14ac:dyDescent="0.25">
      <c r="A36" s="1">
        <v>390565</v>
      </c>
      <c r="B36" t="s">
        <v>7</v>
      </c>
      <c r="C36" t="s">
        <v>22</v>
      </c>
      <c r="D36" t="s">
        <v>32</v>
      </c>
      <c r="E36" t="s">
        <v>63</v>
      </c>
      <c r="F36" s="73" t="s">
        <v>61</v>
      </c>
      <c r="G36" s="73" t="s">
        <v>83</v>
      </c>
      <c r="H36" s="80">
        <v>43634</v>
      </c>
      <c r="I36" s="6">
        <v>43646</v>
      </c>
      <c r="J36" s="91">
        <v>43640</v>
      </c>
      <c r="K36" t="str">
        <f t="shared" ca="1" si="0"/>
        <v>OK</v>
      </c>
    </row>
    <row r="37" spans="1:11" x14ac:dyDescent="0.25">
      <c r="A37" s="1">
        <v>390566</v>
      </c>
      <c r="B37" t="s">
        <v>6</v>
      </c>
      <c r="C37" t="s">
        <v>23</v>
      </c>
      <c r="D37" t="s">
        <v>33</v>
      </c>
      <c r="E37" t="s">
        <v>62</v>
      </c>
      <c r="F37" s="73" t="s">
        <v>10</v>
      </c>
      <c r="G37" s="73" t="s">
        <v>82</v>
      </c>
      <c r="H37" s="80">
        <v>43635</v>
      </c>
      <c r="I37" s="6">
        <v>43647</v>
      </c>
      <c r="J37" s="91">
        <v>43641</v>
      </c>
      <c r="K37" t="str">
        <f t="shared" ca="1" si="0"/>
        <v>Missed Phase End Date</v>
      </c>
    </row>
    <row r="38" spans="1:11" x14ac:dyDescent="0.25">
      <c r="A38" s="1">
        <v>390567</v>
      </c>
      <c r="B38" t="s">
        <v>7</v>
      </c>
      <c r="C38" t="s">
        <v>24</v>
      </c>
      <c r="D38" t="s">
        <v>31</v>
      </c>
      <c r="E38" t="s">
        <v>62</v>
      </c>
      <c r="F38" s="73" t="s">
        <v>61</v>
      </c>
      <c r="G38" s="73" t="s">
        <v>82</v>
      </c>
      <c r="H38" s="80">
        <v>43636</v>
      </c>
      <c r="I38" s="6">
        <v>43648</v>
      </c>
      <c r="J38" s="91">
        <v>43642</v>
      </c>
      <c r="K38" t="str">
        <f t="shared" ca="1" si="0"/>
        <v>OK</v>
      </c>
    </row>
    <row r="39" spans="1:11" x14ac:dyDescent="0.25">
      <c r="A39" s="1">
        <v>390568</v>
      </c>
      <c r="B39" t="s">
        <v>6</v>
      </c>
      <c r="C39" t="s">
        <v>25</v>
      </c>
      <c r="D39" t="s">
        <v>32</v>
      </c>
      <c r="E39" t="s">
        <v>63</v>
      </c>
      <c r="F39" s="73" t="s">
        <v>8</v>
      </c>
      <c r="G39" s="73" t="s">
        <v>82</v>
      </c>
      <c r="H39" s="80">
        <v>43637</v>
      </c>
      <c r="I39" s="6">
        <v>43649</v>
      </c>
      <c r="J39" s="91">
        <v>43643</v>
      </c>
      <c r="K39" t="str">
        <f t="shared" ca="1" si="0"/>
        <v>Missed Phase End Date</v>
      </c>
    </row>
    <row r="40" spans="1:11" x14ac:dyDescent="0.25">
      <c r="A40" s="1">
        <v>390569</v>
      </c>
      <c r="B40" t="s">
        <v>7</v>
      </c>
      <c r="C40" t="s">
        <v>26</v>
      </c>
      <c r="D40" t="s">
        <v>33</v>
      </c>
      <c r="E40" t="s">
        <v>64</v>
      </c>
      <c r="F40" s="73" t="s">
        <v>9</v>
      </c>
      <c r="G40" s="73" t="s">
        <v>83</v>
      </c>
      <c r="H40" s="80">
        <v>43638</v>
      </c>
      <c r="I40" s="6">
        <v>43650</v>
      </c>
      <c r="J40" s="91">
        <v>43644</v>
      </c>
      <c r="K40" t="str">
        <f t="shared" ca="1" si="0"/>
        <v>OK</v>
      </c>
    </row>
    <row r="41" spans="1:11" x14ac:dyDescent="0.25">
      <c r="A41" s="1">
        <v>390570</v>
      </c>
      <c r="B41" t="s">
        <v>6</v>
      </c>
      <c r="C41" t="s">
        <v>17</v>
      </c>
      <c r="D41" t="s">
        <v>33</v>
      </c>
      <c r="E41" t="s">
        <v>63</v>
      </c>
      <c r="F41" s="73" t="s">
        <v>11</v>
      </c>
      <c r="G41" s="73" t="s">
        <v>82</v>
      </c>
      <c r="H41" s="80">
        <v>43639</v>
      </c>
      <c r="I41" s="6">
        <v>43651</v>
      </c>
      <c r="J41" s="91">
        <v>43645</v>
      </c>
      <c r="K41" t="str">
        <f t="shared" ca="1" si="0"/>
        <v>OK</v>
      </c>
    </row>
    <row r="42" spans="1:11" x14ac:dyDescent="0.25">
      <c r="A42" s="1">
        <v>390571</v>
      </c>
      <c r="B42" t="s">
        <v>7</v>
      </c>
      <c r="C42" t="s">
        <v>18</v>
      </c>
      <c r="D42" t="s">
        <v>31</v>
      </c>
      <c r="E42" t="s">
        <v>64</v>
      </c>
      <c r="F42" s="73" t="s">
        <v>9</v>
      </c>
      <c r="G42" s="73" t="s">
        <v>82</v>
      </c>
      <c r="H42" s="80">
        <v>43640</v>
      </c>
      <c r="I42" s="6">
        <v>43652</v>
      </c>
      <c r="J42" s="91">
        <v>43646</v>
      </c>
      <c r="K42" t="str">
        <f t="shared" ca="1" si="0"/>
        <v>Missed Phase End Date</v>
      </c>
    </row>
    <row r="43" spans="1:11" x14ac:dyDescent="0.25">
      <c r="A43" s="1">
        <v>390572</v>
      </c>
      <c r="B43" t="s">
        <v>6</v>
      </c>
      <c r="C43" t="s">
        <v>19</v>
      </c>
      <c r="D43" t="s">
        <v>32</v>
      </c>
      <c r="E43" t="s">
        <v>62</v>
      </c>
      <c r="F43" s="73" t="s">
        <v>8</v>
      </c>
      <c r="G43" s="73" t="s">
        <v>82</v>
      </c>
      <c r="H43" s="80">
        <v>43641</v>
      </c>
      <c r="I43" s="6">
        <v>43653</v>
      </c>
      <c r="J43" s="91">
        <v>43647</v>
      </c>
      <c r="K43" t="str">
        <f t="shared" ca="1" si="0"/>
        <v>Missed Phase End Date</v>
      </c>
    </row>
    <row r="44" spans="1:11" x14ac:dyDescent="0.25">
      <c r="A44" s="1">
        <v>390573</v>
      </c>
      <c r="B44" t="s">
        <v>7</v>
      </c>
      <c r="C44" t="s">
        <v>20</v>
      </c>
      <c r="D44" t="s">
        <v>33</v>
      </c>
      <c r="E44" t="s">
        <v>64</v>
      </c>
      <c r="F44" s="73" t="s">
        <v>9</v>
      </c>
      <c r="G44" s="73" t="s">
        <v>82</v>
      </c>
      <c r="H44" s="80">
        <v>43642</v>
      </c>
      <c r="I44" s="6">
        <v>43654</v>
      </c>
      <c r="J44" s="91">
        <v>43648</v>
      </c>
      <c r="K44" t="str">
        <f t="shared" ca="1" si="0"/>
        <v>Missed Phase End Date</v>
      </c>
    </row>
    <row r="45" spans="1:11" x14ac:dyDescent="0.25">
      <c r="A45" s="1">
        <v>390574</v>
      </c>
      <c r="B45" t="s">
        <v>6</v>
      </c>
      <c r="C45" t="s">
        <v>13</v>
      </c>
      <c r="D45" t="s">
        <v>32</v>
      </c>
      <c r="E45" t="s">
        <v>63</v>
      </c>
      <c r="F45" s="73" t="s">
        <v>10</v>
      </c>
      <c r="G45" s="73" t="s">
        <v>82</v>
      </c>
      <c r="H45" s="80">
        <v>43643</v>
      </c>
      <c r="I45" s="6">
        <v>43655</v>
      </c>
      <c r="J45" s="91">
        <v>43649</v>
      </c>
      <c r="K45" t="str">
        <f t="shared" ca="1" si="0"/>
        <v>Missed Phase End Date</v>
      </c>
    </row>
    <row r="46" spans="1:11" x14ac:dyDescent="0.25">
      <c r="A46" s="1">
        <v>390575</v>
      </c>
      <c r="B46" t="s">
        <v>7</v>
      </c>
      <c r="C46" t="s">
        <v>14</v>
      </c>
      <c r="D46" t="s">
        <v>33</v>
      </c>
      <c r="E46" t="s">
        <v>62</v>
      </c>
      <c r="F46" s="73" t="s">
        <v>8</v>
      </c>
      <c r="G46" s="73" t="s">
        <v>82</v>
      </c>
      <c r="H46" s="80">
        <v>43644</v>
      </c>
      <c r="I46" s="6">
        <v>43656</v>
      </c>
      <c r="J46" s="91">
        <v>43650</v>
      </c>
      <c r="K46" t="str">
        <f t="shared" ca="1" si="0"/>
        <v>Missed Phase End Date</v>
      </c>
    </row>
    <row r="47" spans="1:11" x14ac:dyDescent="0.25">
      <c r="A47" s="1">
        <v>390576</v>
      </c>
      <c r="B47" t="s">
        <v>6</v>
      </c>
      <c r="C47" t="s">
        <v>15</v>
      </c>
      <c r="D47" t="s">
        <v>31</v>
      </c>
      <c r="E47" t="s">
        <v>62</v>
      </c>
      <c r="F47" s="73" t="s">
        <v>61</v>
      </c>
      <c r="G47" s="73" t="s">
        <v>83</v>
      </c>
      <c r="H47" s="80">
        <v>43645</v>
      </c>
      <c r="I47" s="6">
        <v>43657</v>
      </c>
      <c r="J47" s="91">
        <v>43651</v>
      </c>
      <c r="K47" t="str">
        <f t="shared" ca="1" si="0"/>
        <v>OK</v>
      </c>
    </row>
    <row r="48" spans="1:11" x14ac:dyDescent="0.25">
      <c r="A48" s="1">
        <v>390577</v>
      </c>
      <c r="B48" t="s">
        <v>7</v>
      </c>
      <c r="C48" t="s">
        <v>13</v>
      </c>
      <c r="D48" t="s">
        <v>32</v>
      </c>
      <c r="E48" t="s">
        <v>63</v>
      </c>
      <c r="F48" s="73" t="s">
        <v>27</v>
      </c>
      <c r="G48" s="73" t="s">
        <v>82</v>
      </c>
      <c r="H48" s="80">
        <v>43646</v>
      </c>
      <c r="I48" s="6">
        <v>43600</v>
      </c>
      <c r="J48" s="91">
        <v>43652</v>
      </c>
      <c r="K48" t="str">
        <f t="shared" ca="1" si="0"/>
        <v>Missed Phase End Date</v>
      </c>
    </row>
    <row r="49" spans="1:11" x14ac:dyDescent="0.25">
      <c r="A49" s="1">
        <v>390578</v>
      </c>
      <c r="B49" t="s">
        <v>6</v>
      </c>
      <c r="C49" t="s">
        <v>14</v>
      </c>
      <c r="D49" t="s">
        <v>33</v>
      </c>
      <c r="E49" t="s">
        <v>64</v>
      </c>
      <c r="F49" s="73" t="s">
        <v>8</v>
      </c>
      <c r="G49" s="73" t="s">
        <v>82</v>
      </c>
      <c r="H49" s="80">
        <v>43647</v>
      </c>
      <c r="I49" s="6">
        <v>43601</v>
      </c>
      <c r="J49" s="91">
        <v>43653</v>
      </c>
      <c r="K49" t="str">
        <f t="shared" ca="1" si="0"/>
        <v>Missed Phase End Date</v>
      </c>
    </row>
    <row r="50" spans="1:11" x14ac:dyDescent="0.25">
      <c r="A50" s="1">
        <v>390579</v>
      </c>
      <c r="B50" t="s">
        <v>7</v>
      </c>
      <c r="C50" t="s">
        <v>12</v>
      </c>
      <c r="D50" t="s">
        <v>31</v>
      </c>
      <c r="E50" t="s">
        <v>63</v>
      </c>
      <c r="F50" s="73" t="s">
        <v>8</v>
      </c>
      <c r="G50" s="73" t="s">
        <v>82</v>
      </c>
      <c r="H50" s="80">
        <v>43648</v>
      </c>
      <c r="I50" s="6">
        <v>43602</v>
      </c>
      <c r="J50" s="91">
        <v>43654</v>
      </c>
      <c r="K50" t="str">
        <f t="shared" ca="1" si="0"/>
        <v>Missed Phase End Date</v>
      </c>
    </row>
    <row r="51" spans="1:11" x14ac:dyDescent="0.25">
      <c r="A51" s="1">
        <v>390580</v>
      </c>
      <c r="B51" t="s">
        <v>6</v>
      </c>
      <c r="C51" t="s">
        <v>13</v>
      </c>
      <c r="D51" t="s">
        <v>32</v>
      </c>
      <c r="E51" t="s">
        <v>64</v>
      </c>
      <c r="F51" s="73" t="s">
        <v>9</v>
      </c>
      <c r="G51" s="73" t="s">
        <v>82</v>
      </c>
      <c r="H51" s="80">
        <v>43649</v>
      </c>
      <c r="I51" s="6">
        <v>43603</v>
      </c>
      <c r="J51" s="91">
        <v>43655</v>
      </c>
      <c r="K51" t="str">
        <f t="shared" ca="1" si="0"/>
        <v>Missed Phase End Date</v>
      </c>
    </row>
    <row r="52" spans="1:11" x14ac:dyDescent="0.25">
      <c r="A52" s="1">
        <v>390581</v>
      </c>
      <c r="B52" t="s">
        <v>7</v>
      </c>
      <c r="C52" t="s">
        <v>14</v>
      </c>
      <c r="D52" t="s">
        <v>33</v>
      </c>
      <c r="E52" t="s">
        <v>62</v>
      </c>
      <c r="F52" s="73" t="s">
        <v>10</v>
      </c>
      <c r="G52" s="73" t="s">
        <v>82</v>
      </c>
      <c r="H52" s="80">
        <v>43650</v>
      </c>
      <c r="I52" s="6">
        <v>43604</v>
      </c>
      <c r="J52" s="91">
        <v>43656</v>
      </c>
      <c r="K52" t="str">
        <f t="shared" ca="1" si="0"/>
        <v>Missed Phase End Date</v>
      </c>
    </row>
    <row r="53" spans="1:11" x14ac:dyDescent="0.25">
      <c r="A53" s="1">
        <v>390582</v>
      </c>
      <c r="B53" t="s">
        <v>6</v>
      </c>
      <c r="C53" t="s">
        <v>15</v>
      </c>
      <c r="D53" t="s">
        <v>31</v>
      </c>
      <c r="E53" t="s">
        <v>64</v>
      </c>
      <c r="F53" s="73" t="s">
        <v>9</v>
      </c>
      <c r="G53" s="73" t="s">
        <v>82</v>
      </c>
      <c r="H53" s="80">
        <v>43651</v>
      </c>
      <c r="I53" s="6">
        <v>43605</v>
      </c>
      <c r="J53" s="91">
        <v>43657</v>
      </c>
      <c r="K53" t="str">
        <f t="shared" ca="1" si="0"/>
        <v>Missed Phase End Date</v>
      </c>
    </row>
    <row r="54" spans="1:11" x14ac:dyDescent="0.25">
      <c r="A54" s="1">
        <v>390583</v>
      </c>
      <c r="B54" t="s">
        <v>7</v>
      </c>
      <c r="C54" t="s">
        <v>16</v>
      </c>
      <c r="D54" t="s">
        <v>32</v>
      </c>
      <c r="E54" t="s">
        <v>63</v>
      </c>
      <c r="F54" s="73" t="s">
        <v>8</v>
      </c>
      <c r="G54" s="73" t="s">
        <v>83</v>
      </c>
      <c r="H54" s="80">
        <v>43652</v>
      </c>
      <c r="I54" s="6">
        <v>43606</v>
      </c>
      <c r="J54" s="91">
        <v>43600</v>
      </c>
      <c r="K54" t="str">
        <f t="shared" ca="1" si="0"/>
        <v>OK</v>
      </c>
    </row>
    <row r="55" spans="1:11" x14ac:dyDescent="0.25">
      <c r="A55" s="1">
        <v>390584</v>
      </c>
      <c r="B55" t="s">
        <v>6</v>
      </c>
      <c r="C55" t="s">
        <v>17</v>
      </c>
      <c r="D55" t="s">
        <v>33</v>
      </c>
      <c r="E55" t="s">
        <v>62</v>
      </c>
      <c r="F55" s="73" t="s">
        <v>11</v>
      </c>
      <c r="G55" s="73" t="s">
        <v>82</v>
      </c>
      <c r="H55" s="80">
        <v>43653</v>
      </c>
      <c r="I55" s="6">
        <v>43607</v>
      </c>
      <c r="J55" s="91">
        <v>43601</v>
      </c>
      <c r="K55" t="str">
        <f t="shared" ca="1" si="0"/>
        <v>OK</v>
      </c>
    </row>
    <row r="56" spans="1:11" x14ac:dyDescent="0.25">
      <c r="A56" s="1">
        <v>390585</v>
      </c>
      <c r="B56" t="s">
        <v>7</v>
      </c>
      <c r="C56" t="s">
        <v>18</v>
      </c>
      <c r="D56" t="s">
        <v>31</v>
      </c>
      <c r="E56" t="s">
        <v>62</v>
      </c>
      <c r="F56" s="73" t="s">
        <v>8</v>
      </c>
      <c r="G56" s="73" t="s">
        <v>82</v>
      </c>
      <c r="H56" s="80">
        <v>43654</v>
      </c>
      <c r="I56" s="6">
        <v>43608</v>
      </c>
      <c r="J56" s="91">
        <v>43602</v>
      </c>
      <c r="K56" t="str">
        <f t="shared" ca="1" si="0"/>
        <v>Missed Phase End Date</v>
      </c>
    </row>
    <row r="57" spans="1:11" x14ac:dyDescent="0.25">
      <c r="A57" s="1">
        <v>390586</v>
      </c>
      <c r="B57" t="s">
        <v>6</v>
      </c>
      <c r="C57" t="s">
        <v>19</v>
      </c>
      <c r="D57" t="s">
        <v>32</v>
      </c>
      <c r="E57" t="s">
        <v>63</v>
      </c>
      <c r="F57" s="73" t="s">
        <v>10</v>
      </c>
      <c r="G57" s="73" t="s">
        <v>82</v>
      </c>
      <c r="H57" s="80">
        <v>43655</v>
      </c>
      <c r="I57" s="6">
        <v>43609</v>
      </c>
      <c r="J57" s="91">
        <v>43603</v>
      </c>
      <c r="K57" t="str">
        <f t="shared" ca="1" si="0"/>
        <v>Missed Phase End Date</v>
      </c>
    </row>
    <row r="58" spans="1:11" x14ac:dyDescent="0.25">
      <c r="A58" s="1">
        <v>390587</v>
      </c>
      <c r="B58" t="s">
        <v>7</v>
      </c>
      <c r="C58" t="s">
        <v>20</v>
      </c>
      <c r="D58" t="s">
        <v>33</v>
      </c>
      <c r="E58" t="s">
        <v>64</v>
      </c>
      <c r="F58" s="73" t="s">
        <v>11</v>
      </c>
      <c r="G58" s="73" t="s">
        <v>82</v>
      </c>
      <c r="H58" s="80">
        <v>43656</v>
      </c>
      <c r="I58" s="6">
        <v>43610</v>
      </c>
      <c r="J58" s="91">
        <v>43604</v>
      </c>
      <c r="K58" t="str">
        <f t="shared" ca="1" si="0"/>
        <v>OK</v>
      </c>
    </row>
    <row r="59" spans="1:11" x14ac:dyDescent="0.25">
      <c r="A59" s="1">
        <v>390588</v>
      </c>
      <c r="B59" t="s">
        <v>6</v>
      </c>
      <c r="C59" t="s">
        <v>21</v>
      </c>
      <c r="D59" t="s">
        <v>31</v>
      </c>
      <c r="E59" t="s">
        <v>63</v>
      </c>
      <c r="F59" s="73" t="s">
        <v>10</v>
      </c>
      <c r="G59" s="73" t="s">
        <v>82</v>
      </c>
      <c r="H59" s="80">
        <v>43657</v>
      </c>
      <c r="I59" s="6">
        <v>43611</v>
      </c>
      <c r="J59" s="91">
        <v>43605</v>
      </c>
      <c r="K59" t="str">
        <f t="shared" ca="1" si="0"/>
        <v>Missed Phase End Date</v>
      </c>
    </row>
    <row r="60" spans="1:11" x14ac:dyDescent="0.25">
      <c r="A60" s="1">
        <v>390589</v>
      </c>
      <c r="B60" t="s">
        <v>7</v>
      </c>
      <c r="C60" t="s">
        <v>22</v>
      </c>
      <c r="D60" t="s">
        <v>32</v>
      </c>
      <c r="E60" t="s">
        <v>64</v>
      </c>
      <c r="F60" s="73" t="s">
        <v>61</v>
      </c>
      <c r="G60" s="73" t="s">
        <v>82</v>
      </c>
      <c r="H60" s="80">
        <v>43600</v>
      </c>
      <c r="I60" s="6">
        <v>43612</v>
      </c>
      <c r="J60" s="91">
        <v>43606</v>
      </c>
      <c r="K60" t="str">
        <f t="shared" ca="1" si="0"/>
        <v>OK</v>
      </c>
    </row>
    <row r="61" spans="1:11" x14ac:dyDescent="0.25">
      <c r="A61" s="1">
        <v>390590</v>
      </c>
      <c r="B61" t="s">
        <v>6</v>
      </c>
      <c r="C61" t="s">
        <v>23</v>
      </c>
      <c r="D61" t="s">
        <v>33</v>
      </c>
      <c r="E61" t="s">
        <v>62</v>
      </c>
      <c r="F61" s="73" t="s">
        <v>10</v>
      </c>
      <c r="G61" s="73" t="s">
        <v>82</v>
      </c>
      <c r="H61" s="80">
        <v>43601</v>
      </c>
      <c r="I61" s="6">
        <v>43650</v>
      </c>
      <c r="J61" s="91">
        <v>43607</v>
      </c>
      <c r="K61" t="str">
        <f t="shared" ca="1" si="0"/>
        <v>Missed Phase End Date</v>
      </c>
    </row>
    <row r="62" spans="1:11" x14ac:dyDescent="0.25">
      <c r="A62" s="1">
        <v>390591</v>
      </c>
      <c r="B62" t="s">
        <v>7</v>
      </c>
      <c r="C62" t="s">
        <v>24</v>
      </c>
      <c r="D62" t="s">
        <v>31</v>
      </c>
      <c r="E62" t="s">
        <v>64</v>
      </c>
      <c r="F62" s="73" t="s">
        <v>61</v>
      </c>
      <c r="G62" s="73" t="s">
        <v>83</v>
      </c>
      <c r="H62" s="80">
        <v>43602</v>
      </c>
      <c r="I62" s="6">
        <v>43651</v>
      </c>
      <c r="J62" s="91">
        <v>43608</v>
      </c>
      <c r="K62" t="str">
        <f t="shared" ca="1" si="0"/>
        <v>OK</v>
      </c>
    </row>
    <row r="63" spans="1:11" x14ac:dyDescent="0.25">
      <c r="A63" s="1">
        <v>390592</v>
      </c>
      <c r="B63" t="s">
        <v>6</v>
      </c>
      <c r="C63" t="s">
        <v>25</v>
      </c>
      <c r="D63" t="s">
        <v>32</v>
      </c>
      <c r="E63" t="s">
        <v>63</v>
      </c>
      <c r="F63" s="73" t="s">
        <v>8</v>
      </c>
      <c r="G63" s="73" t="s">
        <v>82</v>
      </c>
      <c r="H63" s="80">
        <v>43603</v>
      </c>
      <c r="I63" s="6">
        <v>43652</v>
      </c>
      <c r="J63" s="91">
        <v>43609</v>
      </c>
      <c r="K63" t="str">
        <f t="shared" ca="1" si="0"/>
        <v>Missed Phase End Date</v>
      </c>
    </row>
    <row r="64" spans="1:11" x14ac:dyDescent="0.25">
      <c r="A64" s="1">
        <v>390593</v>
      </c>
      <c r="B64" t="s">
        <v>7</v>
      </c>
      <c r="C64" t="s">
        <v>26</v>
      </c>
      <c r="D64" t="s">
        <v>33</v>
      </c>
      <c r="E64" t="s">
        <v>62</v>
      </c>
      <c r="F64" s="73" t="s">
        <v>9</v>
      </c>
      <c r="G64" s="73" t="s">
        <v>82</v>
      </c>
      <c r="H64" s="80">
        <v>43604</v>
      </c>
      <c r="I64" s="6">
        <v>43653</v>
      </c>
      <c r="J64" s="91">
        <v>43610</v>
      </c>
      <c r="K64" t="str">
        <f t="shared" ca="1" si="0"/>
        <v>Missed Phase End Date</v>
      </c>
    </row>
    <row r="65" spans="1:11" x14ac:dyDescent="0.25">
      <c r="A65" s="1">
        <v>390594</v>
      </c>
      <c r="B65" t="s">
        <v>6</v>
      </c>
      <c r="C65" t="s">
        <v>17</v>
      </c>
      <c r="D65" t="s">
        <v>33</v>
      </c>
      <c r="E65" t="s">
        <v>62</v>
      </c>
      <c r="F65" s="73" t="s">
        <v>11</v>
      </c>
      <c r="G65" s="73" t="s">
        <v>82</v>
      </c>
      <c r="H65" s="80">
        <v>43605</v>
      </c>
      <c r="I65" s="6">
        <v>43654</v>
      </c>
      <c r="J65" s="91">
        <v>43611</v>
      </c>
      <c r="K65" t="str">
        <f t="shared" ca="1" si="0"/>
        <v>OK</v>
      </c>
    </row>
    <row r="66" spans="1:11" x14ac:dyDescent="0.25">
      <c r="A66" s="1">
        <v>390595</v>
      </c>
      <c r="B66" t="s">
        <v>7</v>
      </c>
      <c r="C66" t="s">
        <v>18</v>
      </c>
      <c r="D66" t="s">
        <v>31</v>
      </c>
      <c r="E66" t="s">
        <v>63</v>
      </c>
      <c r="F66" s="73" t="s">
        <v>9</v>
      </c>
      <c r="G66" s="73" t="s">
        <v>82</v>
      </c>
      <c r="H66" s="80">
        <v>43606</v>
      </c>
      <c r="I66" s="6">
        <v>43655</v>
      </c>
      <c r="J66" s="91">
        <v>43612</v>
      </c>
      <c r="K66" t="str">
        <f t="shared" ca="1" si="0"/>
        <v>Missed Phase End Date</v>
      </c>
    </row>
    <row r="67" spans="1:11" x14ac:dyDescent="0.25">
      <c r="A67" s="1">
        <v>390596</v>
      </c>
      <c r="B67" t="s">
        <v>6</v>
      </c>
      <c r="C67" t="s">
        <v>19</v>
      </c>
      <c r="D67" t="s">
        <v>32</v>
      </c>
      <c r="E67" t="s">
        <v>64</v>
      </c>
      <c r="F67" s="73" t="s">
        <v>8</v>
      </c>
      <c r="G67" s="73" t="s">
        <v>82</v>
      </c>
      <c r="H67" s="80">
        <v>43607</v>
      </c>
      <c r="I67" s="6">
        <v>43656</v>
      </c>
      <c r="J67" s="91">
        <v>43650</v>
      </c>
      <c r="K67" t="str">
        <f t="shared" ref="K67:K100" ca="1" si="1">IF(AND(F67&lt;&gt;"Initiation",F67&lt;&gt;"Estimation",F67&lt;&gt;"Implementation",G67&lt;&gt;"On-Hold",H67&lt;TODAY()),"Missed Phase End Date","OK")</f>
        <v>Missed Phase End Date</v>
      </c>
    </row>
    <row r="68" spans="1:11" x14ac:dyDescent="0.25">
      <c r="A68" s="1">
        <v>390597</v>
      </c>
      <c r="B68" t="s">
        <v>7</v>
      </c>
      <c r="C68" t="s">
        <v>20</v>
      </c>
      <c r="D68" t="s">
        <v>33</v>
      </c>
      <c r="E68" t="s">
        <v>63</v>
      </c>
      <c r="F68" s="73" t="s">
        <v>9</v>
      </c>
      <c r="G68" s="73" t="s">
        <v>82</v>
      </c>
      <c r="H68" s="80">
        <v>43608</v>
      </c>
      <c r="I68" s="6">
        <v>43657</v>
      </c>
      <c r="J68" s="91">
        <v>43651</v>
      </c>
      <c r="K68" t="str">
        <f t="shared" ca="1" si="1"/>
        <v>Missed Phase End Date</v>
      </c>
    </row>
    <row r="69" spans="1:11" x14ac:dyDescent="0.25">
      <c r="A69" s="1">
        <v>390598</v>
      </c>
      <c r="B69" t="s">
        <v>6</v>
      </c>
      <c r="C69" t="s">
        <v>13</v>
      </c>
      <c r="D69" t="s">
        <v>32</v>
      </c>
      <c r="E69" t="s">
        <v>64</v>
      </c>
      <c r="F69" s="73" t="s">
        <v>10</v>
      </c>
      <c r="G69" s="73" t="s">
        <v>82</v>
      </c>
      <c r="H69" s="80">
        <v>43609</v>
      </c>
      <c r="I69" s="6">
        <v>43608</v>
      </c>
      <c r="J69" s="91">
        <v>43652</v>
      </c>
      <c r="K69" t="str">
        <f t="shared" ca="1" si="1"/>
        <v>Missed Phase End Date</v>
      </c>
    </row>
    <row r="70" spans="1:11" x14ac:dyDescent="0.25">
      <c r="A70" s="1">
        <v>390599</v>
      </c>
      <c r="B70" t="s">
        <v>7</v>
      </c>
      <c r="C70" t="s">
        <v>14</v>
      </c>
      <c r="D70" t="s">
        <v>33</v>
      </c>
      <c r="E70" t="s">
        <v>62</v>
      </c>
      <c r="F70" s="73" t="s">
        <v>8</v>
      </c>
      <c r="G70" s="73" t="s">
        <v>82</v>
      </c>
      <c r="H70" s="80">
        <v>43610</v>
      </c>
      <c r="I70" s="6">
        <v>43609</v>
      </c>
      <c r="J70" s="91">
        <v>43653</v>
      </c>
      <c r="K70" t="str">
        <f t="shared" ca="1" si="1"/>
        <v>Missed Phase End Date</v>
      </c>
    </row>
    <row r="71" spans="1:11" x14ac:dyDescent="0.25">
      <c r="A71" s="1">
        <v>390600</v>
      </c>
      <c r="B71" t="s">
        <v>6</v>
      </c>
      <c r="C71" t="s">
        <v>15</v>
      </c>
      <c r="D71" t="s">
        <v>31</v>
      </c>
      <c r="E71" t="s">
        <v>64</v>
      </c>
      <c r="F71" s="73" t="s">
        <v>61</v>
      </c>
      <c r="G71" s="73" t="s">
        <v>82</v>
      </c>
      <c r="H71" s="80">
        <v>43611</v>
      </c>
      <c r="I71" s="6">
        <v>43610</v>
      </c>
      <c r="J71" s="91">
        <v>43654</v>
      </c>
      <c r="K71" t="str">
        <f t="shared" ca="1" si="1"/>
        <v>OK</v>
      </c>
    </row>
    <row r="72" spans="1:11" x14ac:dyDescent="0.25">
      <c r="A72" s="1">
        <v>390601</v>
      </c>
      <c r="B72" t="s">
        <v>7</v>
      </c>
      <c r="C72" t="s">
        <v>13</v>
      </c>
      <c r="D72" t="s">
        <v>32</v>
      </c>
      <c r="E72" t="s">
        <v>63</v>
      </c>
      <c r="F72" s="73" t="s">
        <v>27</v>
      </c>
      <c r="G72" s="73" t="s">
        <v>82</v>
      </c>
      <c r="H72" s="80">
        <v>43612</v>
      </c>
      <c r="I72" s="6">
        <v>43611</v>
      </c>
      <c r="J72" s="91">
        <v>43655</v>
      </c>
      <c r="K72" t="str">
        <f t="shared" ca="1" si="1"/>
        <v>Missed Phase End Date</v>
      </c>
    </row>
    <row r="73" spans="1:11" x14ac:dyDescent="0.25">
      <c r="A73" s="1">
        <v>390602</v>
      </c>
      <c r="B73" t="s">
        <v>6</v>
      </c>
      <c r="C73" t="s">
        <v>14</v>
      </c>
      <c r="D73" t="s">
        <v>33</v>
      </c>
      <c r="E73" t="s">
        <v>62</v>
      </c>
      <c r="F73" s="73" t="s">
        <v>8</v>
      </c>
      <c r="G73" s="73" t="s">
        <v>83</v>
      </c>
      <c r="H73" s="80">
        <v>43650</v>
      </c>
      <c r="I73" s="6">
        <v>43612</v>
      </c>
      <c r="J73" s="91">
        <v>43653</v>
      </c>
      <c r="K73" t="str">
        <f t="shared" ca="1" si="1"/>
        <v>OK</v>
      </c>
    </row>
    <row r="74" spans="1:11" x14ac:dyDescent="0.25">
      <c r="A74" s="1">
        <v>390603</v>
      </c>
      <c r="B74" t="s">
        <v>7</v>
      </c>
      <c r="C74" t="s">
        <v>12</v>
      </c>
      <c r="D74" t="s">
        <v>31</v>
      </c>
      <c r="E74" t="s">
        <v>62</v>
      </c>
      <c r="F74" s="73" t="s">
        <v>8</v>
      </c>
      <c r="G74" s="73" t="s">
        <v>82</v>
      </c>
      <c r="H74" s="80">
        <v>43651</v>
      </c>
      <c r="I74" s="6">
        <v>43623</v>
      </c>
      <c r="J74" s="91">
        <v>43654</v>
      </c>
      <c r="K74" t="str">
        <f t="shared" ca="1" si="1"/>
        <v>Missed Phase End Date</v>
      </c>
    </row>
    <row r="75" spans="1:11" x14ac:dyDescent="0.25">
      <c r="A75" s="1">
        <v>390604</v>
      </c>
      <c r="B75" t="s">
        <v>6</v>
      </c>
      <c r="C75" t="s">
        <v>13</v>
      </c>
      <c r="D75" t="s">
        <v>32</v>
      </c>
      <c r="E75" t="s">
        <v>63</v>
      </c>
      <c r="F75" s="73" t="s">
        <v>9</v>
      </c>
      <c r="G75" s="73" t="s">
        <v>82</v>
      </c>
      <c r="H75" s="80">
        <v>43652</v>
      </c>
      <c r="I75" s="6">
        <v>43624</v>
      </c>
      <c r="J75" s="91">
        <v>43655</v>
      </c>
      <c r="K75" t="str">
        <f t="shared" ca="1" si="1"/>
        <v>Missed Phase End Date</v>
      </c>
    </row>
    <row r="76" spans="1:11" x14ac:dyDescent="0.25">
      <c r="A76" s="1">
        <v>390605</v>
      </c>
      <c r="B76" t="s">
        <v>7</v>
      </c>
      <c r="C76" t="s">
        <v>14</v>
      </c>
      <c r="D76" t="s">
        <v>33</v>
      </c>
      <c r="E76" t="s">
        <v>64</v>
      </c>
      <c r="F76" s="73" t="s">
        <v>10</v>
      </c>
      <c r="G76" s="73" t="s">
        <v>82</v>
      </c>
      <c r="H76" s="80">
        <v>43653</v>
      </c>
      <c r="I76" s="6">
        <v>43625</v>
      </c>
      <c r="J76" s="91">
        <v>43656</v>
      </c>
      <c r="K76" t="str">
        <f t="shared" ca="1" si="1"/>
        <v>Missed Phase End Date</v>
      </c>
    </row>
    <row r="77" spans="1:11" x14ac:dyDescent="0.25">
      <c r="A77" s="1">
        <v>390606</v>
      </c>
      <c r="B77" t="s">
        <v>6</v>
      </c>
      <c r="C77" t="s">
        <v>15</v>
      </c>
      <c r="D77" t="s">
        <v>31</v>
      </c>
      <c r="E77" t="s">
        <v>63</v>
      </c>
      <c r="F77" s="73" t="s">
        <v>9</v>
      </c>
      <c r="G77" s="73" t="s">
        <v>82</v>
      </c>
      <c r="H77" s="80">
        <v>43654</v>
      </c>
      <c r="I77" s="6">
        <v>43626</v>
      </c>
      <c r="J77" s="91">
        <v>43657</v>
      </c>
      <c r="K77" t="str">
        <f t="shared" ca="1" si="1"/>
        <v>Missed Phase End Date</v>
      </c>
    </row>
    <row r="78" spans="1:11" x14ac:dyDescent="0.25">
      <c r="A78" s="1">
        <v>390607</v>
      </c>
      <c r="B78" t="s">
        <v>7</v>
      </c>
      <c r="C78" t="s">
        <v>16</v>
      </c>
      <c r="D78" t="s">
        <v>32</v>
      </c>
      <c r="E78" t="s">
        <v>64</v>
      </c>
      <c r="F78" s="73" t="s">
        <v>8</v>
      </c>
      <c r="G78" s="73" t="s">
        <v>82</v>
      </c>
      <c r="H78" s="80">
        <v>43655</v>
      </c>
      <c r="I78" s="6">
        <v>43627</v>
      </c>
      <c r="J78" s="91">
        <v>43608</v>
      </c>
      <c r="K78" t="str">
        <f t="shared" ca="1" si="1"/>
        <v>Missed Phase End Date</v>
      </c>
    </row>
    <row r="79" spans="1:11" x14ac:dyDescent="0.25">
      <c r="A79" s="1">
        <v>390608</v>
      </c>
      <c r="B79" t="s">
        <v>6</v>
      </c>
      <c r="C79" t="s">
        <v>17</v>
      </c>
      <c r="D79" t="s">
        <v>33</v>
      </c>
      <c r="E79" t="s">
        <v>62</v>
      </c>
      <c r="F79" s="73" t="s">
        <v>11</v>
      </c>
      <c r="G79" s="73" t="s">
        <v>82</v>
      </c>
      <c r="H79" s="80">
        <v>43656</v>
      </c>
      <c r="I79" s="6">
        <v>43628</v>
      </c>
      <c r="J79" s="91">
        <v>43609</v>
      </c>
      <c r="K79" t="str">
        <f t="shared" ca="1" si="1"/>
        <v>OK</v>
      </c>
    </row>
    <row r="80" spans="1:11" x14ac:dyDescent="0.25">
      <c r="A80" s="1">
        <v>390609</v>
      </c>
      <c r="B80" t="s">
        <v>7</v>
      </c>
      <c r="C80" t="s">
        <v>18</v>
      </c>
      <c r="D80" t="s">
        <v>31</v>
      </c>
      <c r="E80" t="s">
        <v>64</v>
      </c>
      <c r="F80" s="73" t="s">
        <v>8</v>
      </c>
      <c r="G80" s="73" t="s">
        <v>82</v>
      </c>
      <c r="H80" s="80">
        <v>43657</v>
      </c>
      <c r="I80" s="6">
        <v>43629</v>
      </c>
      <c r="J80" s="91">
        <v>43610</v>
      </c>
      <c r="K80" t="str">
        <f t="shared" ca="1" si="1"/>
        <v>Missed Phase End Date</v>
      </c>
    </row>
    <row r="81" spans="1:11" x14ac:dyDescent="0.25">
      <c r="A81" s="1">
        <v>390610</v>
      </c>
      <c r="B81" t="s">
        <v>6</v>
      </c>
      <c r="C81" t="s">
        <v>19</v>
      </c>
      <c r="D81" t="s">
        <v>32</v>
      </c>
      <c r="E81" t="s">
        <v>63</v>
      </c>
      <c r="F81" s="73" t="s">
        <v>10</v>
      </c>
      <c r="G81" s="73" t="s">
        <v>82</v>
      </c>
      <c r="H81" s="80">
        <v>43608</v>
      </c>
      <c r="I81" s="6">
        <v>43650</v>
      </c>
      <c r="J81" s="91">
        <v>43611</v>
      </c>
      <c r="K81" t="str">
        <f t="shared" ca="1" si="1"/>
        <v>Missed Phase End Date</v>
      </c>
    </row>
    <row r="82" spans="1:11" x14ac:dyDescent="0.25">
      <c r="A82" s="1">
        <v>390611</v>
      </c>
      <c r="B82" t="s">
        <v>7</v>
      </c>
      <c r="C82" t="s">
        <v>20</v>
      </c>
      <c r="D82" t="s">
        <v>33</v>
      </c>
      <c r="E82" t="s">
        <v>62</v>
      </c>
      <c r="F82" s="73" t="s">
        <v>11</v>
      </c>
      <c r="G82" s="73" t="s">
        <v>82</v>
      </c>
      <c r="H82" s="80">
        <v>43609</v>
      </c>
      <c r="I82" s="6">
        <v>43651</v>
      </c>
      <c r="J82" s="91">
        <v>43612</v>
      </c>
      <c r="K82" t="str">
        <f t="shared" ca="1" si="1"/>
        <v>OK</v>
      </c>
    </row>
    <row r="83" spans="1:11" x14ac:dyDescent="0.25">
      <c r="A83" s="1">
        <v>390612</v>
      </c>
      <c r="B83" t="s">
        <v>6</v>
      </c>
      <c r="C83" t="s">
        <v>21</v>
      </c>
      <c r="D83" t="s">
        <v>31</v>
      </c>
      <c r="E83" t="s">
        <v>62</v>
      </c>
      <c r="F83" s="73" t="s">
        <v>10</v>
      </c>
      <c r="G83" s="73" t="s">
        <v>82</v>
      </c>
      <c r="H83" s="80">
        <v>43610</v>
      </c>
      <c r="I83" s="6">
        <v>43652</v>
      </c>
      <c r="J83" s="91">
        <v>43623</v>
      </c>
      <c r="K83" t="str">
        <f t="shared" ca="1" si="1"/>
        <v>Missed Phase End Date</v>
      </c>
    </row>
    <row r="84" spans="1:11" x14ac:dyDescent="0.25">
      <c r="A84" s="1">
        <v>390613</v>
      </c>
      <c r="B84" t="s">
        <v>7</v>
      </c>
      <c r="C84" t="s">
        <v>22</v>
      </c>
      <c r="D84" t="s">
        <v>32</v>
      </c>
      <c r="E84" t="s">
        <v>63</v>
      </c>
      <c r="F84" s="73" t="s">
        <v>61</v>
      </c>
      <c r="G84" s="73" t="s">
        <v>82</v>
      </c>
      <c r="H84" s="80">
        <v>43611</v>
      </c>
      <c r="I84" s="6">
        <v>43653</v>
      </c>
      <c r="J84" s="91">
        <v>43624</v>
      </c>
      <c r="K84" t="str">
        <f t="shared" ca="1" si="1"/>
        <v>OK</v>
      </c>
    </row>
    <row r="85" spans="1:11" x14ac:dyDescent="0.25">
      <c r="A85" s="1">
        <v>390614</v>
      </c>
      <c r="B85" t="s">
        <v>6</v>
      </c>
      <c r="C85" t="s">
        <v>23</v>
      </c>
      <c r="D85" t="s">
        <v>33</v>
      </c>
      <c r="E85" t="s">
        <v>64</v>
      </c>
      <c r="F85" s="73" t="s">
        <v>10</v>
      </c>
      <c r="G85" s="73" t="s">
        <v>82</v>
      </c>
      <c r="H85" s="80">
        <v>43612</v>
      </c>
      <c r="I85" s="6">
        <v>43654</v>
      </c>
      <c r="J85" s="91">
        <v>43625</v>
      </c>
      <c r="K85" t="str">
        <f t="shared" ca="1" si="1"/>
        <v>Missed Phase End Date</v>
      </c>
    </row>
    <row r="86" spans="1:11" x14ac:dyDescent="0.25">
      <c r="A86" s="1">
        <v>390615</v>
      </c>
      <c r="B86" t="s">
        <v>7</v>
      </c>
      <c r="C86" t="s">
        <v>24</v>
      </c>
      <c r="D86" t="s">
        <v>31</v>
      </c>
      <c r="E86" t="s">
        <v>63</v>
      </c>
      <c r="F86" s="73" t="s">
        <v>61</v>
      </c>
      <c r="G86" s="73" t="s">
        <v>82</v>
      </c>
      <c r="H86" s="80">
        <v>43623</v>
      </c>
      <c r="I86" s="6">
        <v>43655</v>
      </c>
      <c r="J86" s="91">
        <v>43626</v>
      </c>
      <c r="K86" t="str">
        <f t="shared" ca="1" si="1"/>
        <v>OK</v>
      </c>
    </row>
    <row r="87" spans="1:11" x14ac:dyDescent="0.25">
      <c r="A87" s="1">
        <v>390616</v>
      </c>
      <c r="B87" t="s">
        <v>6</v>
      </c>
      <c r="C87" t="s">
        <v>25</v>
      </c>
      <c r="D87" t="s">
        <v>32</v>
      </c>
      <c r="E87" t="s">
        <v>64</v>
      </c>
      <c r="F87" s="73" t="s">
        <v>8</v>
      </c>
      <c r="G87" s="73" t="s">
        <v>82</v>
      </c>
      <c r="H87" s="80">
        <v>43624</v>
      </c>
      <c r="I87" s="6">
        <v>43628</v>
      </c>
      <c r="J87" s="91">
        <v>43627</v>
      </c>
      <c r="K87" t="str">
        <f t="shared" ca="1" si="1"/>
        <v>Missed Phase End Date</v>
      </c>
    </row>
    <row r="88" spans="1:11" x14ac:dyDescent="0.25">
      <c r="A88" s="1">
        <v>390617</v>
      </c>
      <c r="B88" t="s">
        <v>7</v>
      </c>
      <c r="C88" t="s">
        <v>26</v>
      </c>
      <c r="D88" t="s">
        <v>33</v>
      </c>
      <c r="E88" t="s">
        <v>62</v>
      </c>
      <c r="F88" s="73" t="s">
        <v>9</v>
      </c>
      <c r="G88" s="73" t="s">
        <v>82</v>
      </c>
      <c r="H88" s="80">
        <v>43625</v>
      </c>
      <c r="I88" s="6">
        <v>43629</v>
      </c>
      <c r="J88" s="91">
        <v>43628</v>
      </c>
      <c r="K88" t="str">
        <f t="shared" ca="1" si="1"/>
        <v>Missed Phase End Date</v>
      </c>
    </row>
    <row r="89" spans="1:11" x14ac:dyDescent="0.25">
      <c r="A89" s="1">
        <v>390618</v>
      </c>
      <c r="B89" t="s">
        <v>6</v>
      </c>
      <c r="C89" t="s">
        <v>17</v>
      </c>
      <c r="D89" t="s">
        <v>33</v>
      </c>
      <c r="E89" t="s">
        <v>64</v>
      </c>
      <c r="F89" s="73" t="s">
        <v>11</v>
      </c>
      <c r="G89" s="73" t="s">
        <v>83</v>
      </c>
      <c r="H89" s="80">
        <v>43626</v>
      </c>
      <c r="I89" s="6">
        <v>43628</v>
      </c>
      <c r="J89" s="91">
        <v>43629</v>
      </c>
      <c r="K89" t="str">
        <f t="shared" ca="1" si="1"/>
        <v>OK</v>
      </c>
    </row>
    <row r="90" spans="1:11" x14ac:dyDescent="0.25">
      <c r="A90" s="1">
        <v>390619</v>
      </c>
      <c r="B90" t="s">
        <v>7</v>
      </c>
      <c r="C90" t="s">
        <v>18</v>
      </c>
      <c r="D90" t="s">
        <v>31</v>
      </c>
      <c r="E90" t="s">
        <v>63</v>
      </c>
      <c r="F90" s="73" t="s">
        <v>9</v>
      </c>
      <c r="G90" s="73" t="s">
        <v>82</v>
      </c>
      <c r="H90" s="80">
        <v>43627</v>
      </c>
      <c r="I90" s="6">
        <v>43629</v>
      </c>
      <c r="J90" s="91">
        <v>43650</v>
      </c>
      <c r="K90" t="str">
        <f t="shared" ca="1" si="1"/>
        <v>Missed Phase End Date</v>
      </c>
    </row>
    <row r="91" spans="1:11" x14ac:dyDescent="0.25">
      <c r="A91" s="1">
        <v>390620</v>
      </c>
      <c r="B91" t="s">
        <v>6</v>
      </c>
      <c r="C91" t="s">
        <v>19</v>
      </c>
      <c r="D91" t="s">
        <v>32</v>
      </c>
      <c r="E91" t="s">
        <v>62</v>
      </c>
      <c r="F91" s="73" t="s">
        <v>8</v>
      </c>
      <c r="G91" s="73" t="s">
        <v>82</v>
      </c>
      <c r="H91" s="80">
        <v>43628</v>
      </c>
      <c r="I91" s="6">
        <v>43650</v>
      </c>
      <c r="J91" s="91">
        <v>43651</v>
      </c>
      <c r="K91" t="str">
        <f t="shared" ca="1" si="1"/>
        <v>Missed Phase End Date</v>
      </c>
    </row>
    <row r="92" spans="1:11" x14ac:dyDescent="0.25">
      <c r="A92" s="1">
        <v>390621</v>
      </c>
      <c r="B92" t="s">
        <v>7</v>
      </c>
      <c r="C92" t="s">
        <v>20</v>
      </c>
      <c r="D92" t="s">
        <v>33</v>
      </c>
      <c r="E92" t="s">
        <v>62</v>
      </c>
      <c r="F92" s="73" t="s">
        <v>9</v>
      </c>
      <c r="G92" s="73" t="s">
        <v>82</v>
      </c>
      <c r="H92" s="80">
        <v>43629</v>
      </c>
      <c r="I92" s="6">
        <v>43651</v>
      </c>
      <c r="J92" s="91">
        <v>43652</v>
      </c>
      <c r="K92" t="str">
        <f t="shared" ca="1" si="1"/>
        <v>Missed Phase End Date</v>
      </c>
    </row>
    <row r="93" spans="1:11" x14ac:dyDescent="0.25">
      <c r="A93" s="1">
        <v>390622</v>
      </c>
      <c r="B93" t="s">
        <v>6</v>
      </c>
      <c r="C93" t="s">
        <v>13</v>
      </c>
      <c r="D93" t="s">
        <v>32</v>
      </c>
      <c r="E93" t="s">
        <v>63</v>
      </c>
      <c r="F93" s="73" t="s">
        <v>10</v>
      </c>
      <c r="G93" s="73" t="s">
        <v>83</v>
      </c>
      <c r="H93" s="80">
        <v>43650</v>
      </c>
      <c r="I93" s="6">
        <v>43652</v>
      </c>
      <c r="J93" s="91">
        <v>43653</v>
      </c>
      <c r="K93" t="str">
        <f t="shared" ca="1" si="1"/>
        <v>OK</v>
      </c>
    </row>
    <row r="94" spans="1:11" x14ac:dyDescent="0.25">
      <c r="A94" s="1">
        <v>390623</v>
      </c>
      <c r="B94" t="s">
        <v>7</v>
      </c>
      <c r="C94" t="s">
        <v>14</v>
      </c>
      <c r="D94" t="s">
        <v>33</v>
      </c>
      <c r="E94" t="s">
        <v>64</v>
      </c>
      <c r="F94" s="73" t="s">
        <v>8</v>
      </c>
      <c r="G94" s="73" t="s">
        <v>82</v>
      </c>
      <c r="H94" s="80">
        <v>43651</v>
      </c>
      <c r="I94" s="6">
        <v>43653</v>
      </c>
      <c r="J94" s="91">
        <v>43654</v>
      </c>
      <c r="K94" t="str">
        <f t="shared" ca="1" si="1"/>
        <v>Missed Phase End Date</v>
      </c>
    </row>
    <row r="95" spans="1:11" x14ac:dyDescent="0.25">
      <c r="A95" s="1">
        <v>390624</v>
      </c>
      <c r="B95" t="s">
        <v>6</v>
      </c>
      <c r="C95" t="s">
        <v>15</v>
      </c>
      <c r="D95" t="s">
        <v>31</v>
      </c>
      <c r="E95" t="s">
        <v>63</v>
      </c>
      <c r="F95" s="73" t="s">
        <v>61</v>
      </c>
      <c r="G95" s="73" t="s">
        <v>82</v>
      </c>
      <c r="H95" s="80">
        <v>43652</v>
      </c>
      <c r="I95" s="6">
        <v>43654</v>
      </c>
      <c r="J95" s="91">
        <v>43655</v>
      </c>
      <c r="K95" t="str">
        <f t="shared" ca="1" si="1"/>
        <v>OK</v>
      </c>
    </row>
    <row r="96" spans="1:11" x14ac:dyDescent="0.25">
      <c r="A96" s="1">
        <v>390625</v>
      </c>
      <c r="B96" t="s">
        <v>7</v>
      </c>
      <c r="C96" t="s">
        <v>13</v>
      </c>
      <c r="D96" t="s">
        <v>32</v>
      </c>
      <c r="E96" t="s">
        <v>64</v>
      </c>
      <c r="F96" s="73" t="s">
        <v>27</v>
      </c>
      <c r="G96" s="73" t="s">
        <v>82</v>
      </c>
      <c r="H96" s="80">
        <v>43653</v>
      </c>
      <c r="I96" s="6">
        <v>43652</v>
      </c>
      <c r="J96" s="91">
        <v>43628</v>
      </c>
      <c r="K96" t="str">
        <f t="shared" ca="1" si="1"/>
        <v>Missed Phase End Date</v>
      </c>
    </row>
    <row r="97" spans="1:11" x14ac:dyDescent="0.25">
      <c r="A97" s="1">
        <v>390626</v>
      </c>
      <c r="B97" t="s">
        <v>6</v>
      </c>
      <c r="C97" t="s">
        <v>14</v>
      </c>
      <c r="D97" t="s">
        <v>33</v>
      </c>
      <c r="E97" t="s">
        <v>62</v>
      </c>
      <c r="F97" s="73" t="s">
        <v>8</v>
      </c>
      <c r="G97" s="73" t="s">
        <v>82</v>
      </c>
      <c r="H97" s="80">
        <v>43654</v>
      </c>
      <c r="I97" s="6">
        <v>43653</v>
      </c>
      <c r="J97" s="91">
        <v>43629</v>
      </c>
      <c r="K97" t="str">
        <f t="shared" ca="1" si="1"/>
        <v>Missed Phase End Date</v>
      </c>
    </row>
    <row r="98" spans="1:11" x14ac:dyDescent="0.25">
      <c r="A98" s="1">
        <v>390627</v>
      </c>
      <c r="B98" t="s">
        <v>7</v>
      </c>
      <c r="C98" t="s">
        <v>12</v>
      </c>
      <c r="D98" t="s">
        <v>31</v>
      </c>
      <c r="E98" t="s">
        <v>64</v>
      </c>
      <c r="F98" s="73" t="s">
        <v>10</v>
      </c>
      <c r="G98" s="73" t="s">
        <v>82</v>
      </c>
      <c r="H98" s="80">
        <v>43655</v>
      </c>
      <c r="I98" s="6">
        <v>43654</v>
      </c>
      <c r="J98" s="91">
        <v>43600</v>
      </c>
      <c r="K98" t="str">
        <f t="shared" ca="1" si="1"/>
        <v>Missed Phase End Date</v>
      </c>
    </row>
    <row r="99" spans="1:11" x14ac:dyDescent="0.25">
      <c r="A99" s="1">
        <v>390628</v>
      </c>
      <c r="B99" t="s">
        <v>7</v>
      </c>
      <c r="C99" t="s">
        <v>13</v>
      </c>
      <c r="D99" t="s">
        <v>32</v>
      </c>
      <c r="E99" t="s">
        <v>63</v>
      </c>
      <c r="F99" s="73" t="s">
        <v>8</v>
      </c>
      <c r="G99" s="73" t="s">
        <v>82</v>
      </c>
      <c r="H99" s="80">
        <v>43628</v>
      </c>
      <c r="I99" s="6">
        <v>43655</v>
      </c>
      <c r="J99" s="91">
        <v>43601</v>
      </c>
      <c r="K99" t="str">
        <f t="shared" ca="1" si="1"/>
        <v>Missed Phase End Date</v>
      </c>
    </row>
    <row r="100" spans="1:11" x14ac:dyDescent="0.25">
      <c r="A100" s="1">
        <v>390629</v>
      </c>
      <c r="B100" t="s">
        <v>7</v>
      </c>
      <c r="C100" t="s">
        <v>14</v>
      </c>
      <c r="D100" t="s">
        <v>33</v>
      </c>
      <c r="E100" t="s">
        <v>62</v>
      </c>
      <c r="F100" s="73" t="s">
        <v>61</v>
      </c>
      <c r="G100" s="73" t="s">
        <v>82</v>
      </c>
      <c r="H100" s="80">
        <v>43629</v>
      </c>
      <c r="I100" s="6">
        <v>43628</v>
      </c>
      <c r="J100" s="91">
        <v>43602</v>
      </c>
      <c r="K100" t="str">
        <f t="shared" ca="1" si="1"/>
        <v>OK</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Budget Analysis</vt:lpstr>
      <vt:lpstr>Data</vt:lpstr>
      <vt:lpstr>Interactive Charts</vt:lpstr>
      <vt:lpstr>Pivot</vt:lpstr>
      <vt:lpstr>Macro1</vt:lpstr>
      <vt:lpstr>Complex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SRIGANESH</dc:creator>
  <cp:lastModifiedBy>Sriganesh Kannaiyan</cp:lastModifiedBy>
  <dcterms:created xsi:type="dcterms:W3CDTF">2019-07-02T13:05:04Z</dcterms:created>
  <dcterms:modified xsi:type="dcterms:W3CDTF">2025-05-20T05:47:24Z</dcterms:modified>
</cp:coreProperties>
</file>