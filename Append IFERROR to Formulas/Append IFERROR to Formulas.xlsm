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8730" codeName="{80610A8E-5010-04F8-B4C4-4C4527662162}"/>
  <workbookPr filterPrivacy="1" codeName="ThisWorkbook" defaultThemeVersion="124226"/>
  <xr:revisionPtr revIDLastSave="623" documentId="11_078EFE067EE540ECE9521C8E873AFE9A83565F02" xr6:coauthVersionLast="47" xr6:coauthVersionMax="47" xr10:uidLastSave="{13B9807F-EFEB-4113-98F9-D0307CA96D22}"/>
  <bookViews>
    <workbookView xWindow="-110" yWindow="-110" windowWidth="19420" windowHeight="11500" activeTab="1" xr2:uid="{00000000-000D-0000-FFFF-FFFF00000000}"/>
  </bookViews>
  <sheets>
    <sheet name="Sheet1" sheetId="1" r:id="rId1"/>
    <sheet name="Activity" sheetId="2" r:id="rId2"/>
  </sheets>
  <definedNames>
    <definedName name="DTS">Activity!$A$6:$K$22</definedName>
    <definedName name="Reval">Activity!$V$8:$AF$22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K22" i="2" l="1"/>
  <c r="J22" i="2"/>
  <c r="I22" i="2"/>
  <c r="H22" i="2"/>
  <c r="K21" i="2"/>
  <c r="J21" i="2"/>
  <c r="I21" i="2"/>
  <c r="H21" i="2"/>
  <c r="K20" i="2"/>
  <c r="J20" i="2"/>
  <c r="I20" i="2"/>
  <c r="H20" i="2"/>
  <c r="K19" i="2"/>
  <c r="J19" i="2"/>
  <c r="I19" i="2"/>
  <c r="H19" i="2"/>
  <c r="K18" i="2"/>
  <c r="J18" i="2"/>
  <c r="I18" i="2"/>
  <c r="H18" i="2"/>
  <c r="K17" i="2"/>
  <c r="J17" i="2"/>
  <c r="I17" i="2"/>
  <c r="H17" i="2"/>
  <c r="K16" i="2"/>
  <c r="J16" i="2"/>
  <c r="I16" i="2"/>
  <c r="H16" i="2"/>
  <c r="K15" i="2"/>
  <c r="J15" i="2"/>
  <c r="I15" i="2"/>
  <c r="H15" i="2"/>
  <c r="K14" i="2"/>
  <c r="J14" i="2"/>
  <c r="I14" i="2"/>
  <c r="H14" i="2"/>
  <c r="K13" i="2"/>
  <c r="J13" i="2"/>
  <c r="I13" i="2"/>
  <c r="H13" i="2"/>
  <c r="K12" i="2"/>
  <c r="J12" i="2"/>
  <c r="I12" i="2"/>
  <c r="H12" i="2"/>
  <c r="K11" i="2"/>
  <c r="J11" i="2"/>
  <c r="I11" i="2"/>
  <c r="H11" i="2"/>
  <c r="K10" i="2"/>
  <c r="J10" i="2"/>
  <c r="I10" i="2"/>
  <c r="H10" i="2"/>
  <c r="K9" i="2"/>
  <c r="J9" i="2"/>
  <c r="I9" i="2"/>
  <c r="H9" i="2"/>
  <c r="K8" i="2"/>
  <c r="J8" i="2"/>
  <c r="I8" i="2"/>
  <c r="H8" i="2"/>
  <c r="AF22" i="2"/>
  <c r="AE22" i="2"/>
  <c r="AD22" i="2"/>
  <c r="AC22" i="2"/>
  <c r="AF21" i="2"/>
  <c r="AE21" i="2"/>
  <c r="AD21" i="2"/>
  <c r="AC21" i="2"/>
  <c r="AF20" i="2"/>
  <c r="AE20" i="2"/>
  <c r="AD20" i="2"/>
  <c r="AC20" i="2"/>
  <c r="AF19" i="2"/>
  <c r="AE19" i="2"/>
  <c r="AD19" i="2"/>
  <c r="AC19" i="2"/>
  <c r="AF18" i="2"/>
  <c r="AE18" i="2"/>
  <c r="AD18" i="2"/>
  <c r="AC18" i="2"/>
  <c r="AF17" i="2"/>
  <c r="AE17" i="2"/>
  <c r="AD17" i="2"/>
  <c r="AC17" i="2"/>
  <c r="AF16" i="2"/>
  <c r="AE16" i="2"/>
  <c r="AD16" i="2"/>
  <c r="AC16" i="2"/>
  <c r="AF15" i="2"/>
  <c r="AE15" i="2"/>
  <c r="AD15" i="2"/>
  <c r="AC15" i="2"/>
  <c r="AF14" i="2"/>
  <c r="AE14" i="2"/>
  <c r="AD14" i="2"/>
  <c r="AC14" i="2"/>
  <c r="AF13" i="2"/>
  <c r="AE13" i="2"/>
  <c r="AD13" i="2"/>
  <c r="AC13" i="2"/>
  <c r="AF12" i="2"/>
  <c r="AE12" i="2"/>
  <c r="AD12" i="2"/>
  <c r="AC12" i="2"/>
  <c r="AF11" i="2"/>
  <c r="AE11" i="2"/>
  <c r="AD11" i="2"/>
  <c r="AC11" i="2"/>
  <c r="AF10" i="2"/>
  <c r="AE10" i="2"/>
  <c r="AD10" i="2"/>
  <c r="AC10" i="2"/>
  <c r="AF9" i="2"/>
  <c r="AE9" i="2"/>
  <c r="AD9" i="2"/>
  <c r="AC9" i="2"/>
  <c r="AF8" i="2"/>
  <c r="AE8" i="2"/>
  <c r="AD8" i="2"/>
  <c r="AC8" i="2"/>
</calcChain>
</file>

<file path=xl/sharedStrings.xml><?xml version="1.0" encoding="utf-8"?>
<sst xmlns="http://schemas.openxmlformats.org/spreadsheetml/2006/main" count="74" uniqueCount="30">
  <si>
    <t>Adjust all Formulas by Adding IFERROR at Once</t>
  </si>
  <si>
    <t>Create a macro that locates all formulas on the worksheet and adds an IFERROR to the formula</t>
  </si>
  <si>
    <t>Note that - Not all formulas are the same - formula in cell J8 is not the same as in H8.</t>
  </si>
  <si>
    <t>This means that you can't just adjust H8 and copy all the way to K22. You need to make sure the existing formulas are not touched.</t>
  </si>
  <si>
    <t>Actual</t>
  </si>
  <si>
    <t>PY</t>
  </si>
  <si>
    <t>Budget</t>
  </si>
  <si>
    <t>Variance Actual to PY</t>
  </si>
  <si>
    <t>Variance Actual to Budget</t>
  </si>
  <si>
    <t>App</t>
  </si>
  <si>
    <t>Revenue</t>
  </si>
  <si>
    <t>Profit</t>
  </si>
  <si>
    <t>Revenue%</t>
  </si>
  <si>
    <t>Profit%</t>
  </si>
  <si>
    <t>WenCaL</t>
  </si>
  <si>
    <t>Blend</t>
  </si>
  <si>
    <t>Voltage</t>
  </si>
  <si>
    <t>Inkly</t>
  </si>
  <si>
    <t>Sleops</t>
  </si>
  <si>
    <t>Kind Ape</t>
  </si>
  <si>
    <t>Pet Feed</t>
  </si>
  <si>
    <t>NA</t>
  </si>
  <si>
    <t>Right App</t>
  </si>
  <si>
    <t>Mirrrr</t>
  </si>
  <si>
    <t>Halotot</t>
  </si>
  <si>
    <t>Flowrrr</t>
  </si>
  <si>
    <t>Silvrr</t>
  </si>
  <si>
    <t>Dasring</t>
  </si>
  <si>
    <t>Rehire</t>
  </si>
  <si>
    <t>Didactic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</si>
</sst>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7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0"/>
      <color indexed="9"/>
      <name val="Calibri"/>
      <family val="2"/>
      <scheme val="minor"/>
    </font>
    <font>
      <sz val="11"/>
      <color theme="4"/>
      <name val="Calibri"/>
      <family val="2"/>
      <scheme val="minor"/>
    </font>
    <font>
      <sz val="11"/>
      <color rgb="FF000000"/>
      <name val="Calibri"/>
      <family val="2"/>
    </font>
  </fonts>
  <fills count="7">
    <fill>
      <patternFill patternType="none"/>
    </fill>
    <fill>
      <patternFill patternType="gray125"/>
    </fill>
    <fill>
      <patternFill patternType="solid">
        <fgColor theme="5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9" tint="-0.249977111117893"/>
        <bgColor indexed="64"/>
      </patternFill>
    </fill>
  </fills>
  <borders count="3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theme="0" tint="-0.14996795556505021"/>
      </top>
      <bottom style="thin">
        <color theme="0" tint="-0.14996795556505021"/>
      </bottom>
      <diagonal/>
    </border>
  </borders>
  <cellStyleXfs count="2">
    <xf numFmtId="0" fontId="0" fillId="0" borderId="0"/>
    <xf numFmtId="9" fontId="1" fillId="0" borderId="0" applyFont="0" applyFill="0" applyBorder="0" applyAlignment="0" applyProtection="0"/>
  </cellStyleXfs>
  <cellXfs count="10">
    <xf numFmtId="0" fontId="0" fillId="0" borderId="0" xfId="0"/>
    <xf numFmtId="0" fontId="3" fillId="0" borderId="1" xfId="0" applyFont="1" applyBorder="1"/>
    <xf numFmtId="0" fontId="0" fillId="0" borderId="1" xfId="0" applyBorder="1"/>
    <xf numFmtId="0" fontId="2" fillId="2" borderId="2" xfId="0" applyFont="1" applyFill="1" applyBorder="1" applyAlignment="1">
      <alignment wrapText="1"/>
    </xf>
    <xf numFmtId="0" fontId="0" fillId="3" borderId="0" xfId="0" applyFill="1"/>
    <xf numFmtId="0" fontId="0" fillId="4" borderId="0" xfId="0" applyFill="1"/>
    <xf numFmtId="0" fontId="4" fillId="5" borderId="0" xfId="0" applyFont="1" applyFill="1" applyAlignment="1">
      <alignment horizontal="center" vertical="center" wrapText="1"/>
    </xf>
    <xf numFmtId="0" fontId="4" fillId="6" borderId="0" xfId="0" applyFont="1" applyFill="1" applyAlignment="1">
      <alignment horizontal="center" vertical="center" wrapText="1"/>
    </xf>
    <xf numFmtId="9" fontId="0" fillId="0" borderId="0" xfId="1" applyFont="1"/>
    <xf numFmtId="0" fontId="5" fillId="0" borderId="0" xfId="0" applyFont="1"/>
  </cellXfs>
  <cellStyles count="2">
    <cellStyle name="Normal" xfId="0" builtinId="0"/>
    <cellStyle name="Percent" xfId="1" builtinId="5"/>
  </cellStyles>
  <dxfs count="0"/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17/10/relationships/person" Target="persons/perso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247650</xdr:colOff>
          <xdr:row>7</xdr:row>
          <xdr:rowOff>47625</xdr:rowOff>
        </xdr:from>
        <xdr:to>
          <xdr:col>15</xdr:col>
          <xdr:colOff>228600</xdr:colOff>
          <xdr:row>10</xdr:row>
          <xdr:rowOff>19050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1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Replace Formulas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295275</xdr:colOff>
          <xdr:row>12</xdr:row>
          <xdr:rowOff>19050</xdr:rowOff>
        </xdr:from>
        <xdr:to>
          <xdr:col>15</xdr:col>
          <xdr:colOff>276225</xdr:colOff>
          <xdr:row>14</xdr:row>
          <xdr:rowOff>142875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1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</xdr:wsDr>
</file>

<file path=xl/persons/person.xml><?xml version="1.0" encoding="utf-8"?>
<personList xmlns="http://schemas.microsoft.com/office/spreadsheetml/2018/threadedcomments" xmlns:x="http://schemas.openxmlformats.org/spreadsheetml/2006/main"/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>
    <tabColor theme="7" tint="0.79998168889431442"/>
  </sheetPr>
  <dimension ref="A1:AF27"/>
  <sheetViews>
    <sheetView tabSelected="1" workbookViewId="0">
      <selection activeCell="N23" sqref="N23"/>
    </sheetView>
  </sheetViews>
  <sheetFormatPr defaultColWidth="9" defaultRowHeight="15" x14ac:dyDescent="0.25"/>
  <cols>
    <col min="11" max="11" width="14.85546875" customWidth="1"/>
    <col min="32" max="32" width="11.5703125" customWidth="1"/>
  </cols>
  <sheetData>
    <row r="1" spans="1:32" ht="18.75" x14ac:dyDescent="0.3">
      <c r="A1" s="1" t="s">
        <v>0</v>
      </c>
      <c r="B1" s="1"/>
      <c r="C1" s="1"/>
      <c r="D1" s="1"/>
      <c r="E1" s="1"/>
      <c r="F1" s="1"/>
      <c r="G1" s="2"/>
      <c r="H1" s="2"/>
      <c r="I1" s="2"/>
      <c r="J1" s="2"/>
    </row>
    <row r="2" spans="1:32" x14ac:dyDescent="0.25">
      <c r="A2" t="s">
        <v>1</v>
      </c>
    </row>
    <row r="3" spans="1:32" x14ac:dyDescent="0.25">
      <c r="A3" t="s">
        <v>2</v>
      </c>
    </row>
    <row r="4" spans="1:32" x14ac:dyDescent="0.25">
      <c r="A4" t="s">
        <v>3</v>
      </c>
    </row>
    <row r="6" spans="1:32" x14ac:dyDescent="0.25">
      <c r="B6" s="3" t="s">
        <v>4</v>
      </c>
      <c r="C6" s="3"/>
      <c r="D6" s="4" t="s">
        <v>5</v>
      </c>
      <c r="E6" s="4"/>
      <c r="F6" s="5" t="s">
        <v>6</v>
      </c>
      <c r="G6" s="5"/>
      <c r="H6" s="4" t="s">
        <v>7</v>
      </c>
      <c r="I6" s="4"/>
      <c r="J6" s="5" t="s">
        <v>8</v>
      </c>
      <c r="K6" s="5"/>
      <c r="W6" s="3" t="s">
        <v>4</v>
      </c>
      <c r="X6" s="3"/>
      <c r="Y6" s="4" t="s">
        <v>5</v>
      </c>
      <c r="Z6" s="4"/>
      <c r="AA6" s="5" t="s">
        <v>6</v>
      </c>
      <c r="AB6" s="5"/>
      <c r="AC6" s="4" t="s">
        <v>7</v>
      </c>
      <c r="AD6" s="4"/>
      <c r="AE6" s="5" t="s">
        <v>8</v>
      </c>
      <c r="AF6" s="5"/>
    </row>
    <row r="7" spans="1:32" ht="25.5" x14ac:dyDescent="0.25">
      <c r="A7" s="6" t="s">
        <v>9</v>
      </c>
      <c r="B7" s="6" t="s">
        <v>10</v>
      </c>
      <c r="C7" s="6" t="s">
        <v>11</v>
      </c>
      <c r="D7" s="6" t="s">
        <v>10</v>
      </c>
      <c r="E7" s="6" t="s">
        <v>11</v>
      </c>
      <c r="F7" s="6" t="s">
        <v>10</v>
      </c>
      <c r="G7" s="6" t="s">
        <v>11</v>
      </c>
      <c r="H7" s="7" t="s">
        <v>12</v>
      </c>
      <c r="I7" s="7" t="s">
        <v>13</v>
      </c>
      <c r="J7" s="7" t="s">
        <v>12</v>
      </c>
      <c r="K7" s="7" t="s">
        <v>13</v>
      </c>
      <c r="V7" s="6" t="s">
        <v>9</v>
      </c>
      <c r="W7" s="6" t="s">
        <v>10</v>
      </c>
      <c r="X7" s="6" t="s">
        <v>11</v>
      </c>
      <c r="Y7" s="6" t="s">
        <v>10</v>
      </c>
      <c r="Z7" s="6" t="s">
        <v>11</v>
      </c>
      <c r="AA7" s="6" t="s">
        <v>10</v>
      </c>
      <c r="AB7" s="6" t="s">
        <v>11</v>
      </c>
      <c r="AC7" s="7" t="s">
        <v>12</v>
      </c>
      <c r="AD7" s="7" t="s">
        <v>13</v>
      </c>
      <c r="AE7" s="7" t="s">
        <v>12</v>
      </c>
      <c r="AF7" s="7" t="s">
        <v>13</v>
      </c>
    </row>
    <row r="8" spans="1:32" x14ac:dyDescent="0.25">
      <c r="A8" t="s">
        <v>14</v>
      </c>
      <c r="B8">
        <v>14432</v>
      </c>
      <c r="C8">
        <v>240</v>
      </c>
      <c r="D8">
        <v>0</v>
      </c>
      <c r="E8">
        <v>0</v>
      </c>
      <c r="F8">
        <v>15113</v>
      </c>
      <c r="G8">
        <v>363</v>
      </c>
      <c r="H8" s="8" t="str">
        <f>IFERROR(B8/D8-1, "")</f>
        <v/>
      </c>
      <c r="I8" s="8" t="str">
        <f>IFERROR(C8/E8-1, "")</f>
        <v/>
      </c>
      <c r="J8" s="8">
        <f>IFERROR(B8/F8-1, "")</f>
        <v>-4.5060543902600392E-2</v>
      </c>
      <c r="K8" s="8">
        <f>IFERROR(C8/G8-1, "")</f>
        <v>-0.33884297520661155</v>
      </c>
      <c r="V8" t="s">
        <v>14</v>
      </c>
      <c r="W8">
        <v>14432</v>
      </c>
      <c r="X8">
        <v>240</v>
      </c>
      <c r="Y8">
        <v>0</v>
      </c>
      <c r="Z8">
        <v>0</v>
      </c>
      <c r="AA8">
        <v>15113</v>
      </c>
      <c r="AB8">
        <v>363</v>
      </c>
      <c r="AC8" s="8" t="e">
        <f t="shared" ref="AC8:AD22" si="0">W8/Y8-1</f>
        <v>#DIV/0!</v>
      </c>
      <c r="AD8" s="8" t="e">
        <f t="shared" si="0"/>
        <v>#DIV/0!</v>
      </c>
      <c r="AE8" s="8">
        <f>W8/AA8-1</f>
        <v>-4.5060543902600392E-2</v>
      </c>
      <c r="AF8" s="8">
        <f>X8/AB8-1</f>
        <v>-0.33884297520661155</v>
      </c>
    </row>
    <row r="9" spans="1:32" x14ac:dyDescent="0.25">
      <c r="A9" t="s">
        <v>15</v>
      </c>
      <c r="B9">
        <v>17990</v>
      </c>
      <c r="C9">
        <v>1166</v>
      </c>
      <c r="D9">
        <v>16395</v>
      </c>
      <c r="E9">
        <v>1003</v>
      </c>
      <c r="F9">
        <v>18181</v>
      </c>
      <c r="G9">
        <v>1223</v>
      </c>
      <c r="H9" s="8">
        <f>IFERROR(B9/D9-1, "")</f>
        <v>9.7285757853003973E-2</v>
      </c>
      <c r="I9" s="8">
        <f>IFERROR(C9/E9-1, "")</f>
        <v>0.16251246261216346</v>
      </c>
      <c r="J9" s="8">
        <f>IFERROR(B9/F9-1, "")</f>
        <v>-1.0505472746273559E-2</v>
      </c>
      <c r="K9" s="8">
        <f>IFERROR(C9/G9-1, "")</f>
        <v>-4.6606704824202816E-2</v>
      </c>
      <c r="V9" t="s">
        <v>15</v>
      </c>
      <c r="W9">
        <v>17990</v>
      </c>
      <c r="X9">
        <v>1166</v>
      </c>
      <c r="Y9">
        <v>16395</v>
      </c>
      <c r="Z9">
        <v>1003</v>
      </c>
      <c r="AA9">
        <v>18181</v>
      </c>
      <c r="AB9">
        <v>1223</v>
      </c>
      <c r="AC9" s="8">
        <f t="shared" si="0"/>
        <v>9.7285757853003973E-2</v>
      </c>
      <c r="AD9" s="8">
        <f t="shared" si="0"/>
        <v>0.16251246261216346</v>
      </c>
      <c r="AE9" s="8">
        <f t="shared" ref="AE9:AF22" si="1">W9/AA9-1</f>
        <v>-1.0505472746273559E-2</v>
      </c>
      <c r="AF9" s="8">
        <f t="shared" si="1"/>
        <v>-4.6606704824202816E-2</v>
      </c>
    </row>
    <row r="10" spans="1:32" x14ac:dyDescent="0.25">
      <c r="A10" t="s">
        <v>16</v>
      </c>
      <c r="B10">
        <v>15117</v>
      </c>
      <c r="C10">
        <v>1613</v>
      </c>
      <c r="D10">
        <v>14138</v>
      </c>
      <c r="E10">
        <v>1200</v>
      </c>
      <c r="F10">
        <v>13455</v>
      </c>
      <c r="G10">
        <v>1400</v>
      </c>
      <c r="H10" s="8">
        <f>IFERROR(B10/D10-1, "")</f>
        <v>6.924600367803091E-2</v>
      </c>
      <c r="I10" s="8">
        <f>IFERROR(C10/E10-1, "")</f>
        <v>0.34416666666666673</v>
      </c>
      <c r="J10" s="8">
        <f>IFERROR(B10/F10-1, "")</f>
        <v>0.12352285395763651</v>
      </c>
      <c r="K10" s="8">
        <f>IFERROR(C10/G10-1, "")</f>
        <v>0.15214285714285714</v>
      </c>
      <c r="V10" t="s">
        <v>16</v>
      </c>
      <c r="W10">
        <v>15117</v>
      </c>
      <c r="X10">
        <v>1613</v>
      </c>
      <c r="Y10">
        <v>14138</v>
      </c>
      <c r="Z10">
        <v>1200</v>
      </c>
      <c r="AA10">
        <v>13455</v>
      </c>
      <c r="AB10">
        <v>1400</v>
      </c>
      <c r="AC10" s="8">
        <f t="shared" si="0"/>
        <v>6.924600367803091E-2</v>
      </c>
      <c r="AD10" s="8">
        <f t="shared" si="0"/>
        <v>0.34416666666666673</v>
      </c>
      <c r="AE10" s="8">
        <f t="shared" si="1"/>
        <v>0.12352285395763651</v>
      </c>
      <c r="AF10" s="8">
        <f t="shared" si="1"/>
        <v>0.15214285714285714</v>
      </c>
    </row>
    <row r="11" spans="1:32" x14ac:dyDescent="0.25">
      <c r="A11" t="s">
        <v>17</v>
      </c>
      <c r="B11">
        <v>11154</v>
      </c>
      <c r="C11">
        <v>731</v>
      </c>
      <c r="D11">
        <v>11502</v>
      </c>
      <c r="E11">
        <v>499</v>
      </c>
      <c r="F11">
        <v>12031</v>
      </c>
      <c r="G11">
        <v>641</v>
      </c>
      <c r="H11" s="8">
        <f>IFERROR(B11/D11-1, "")</f>
        <v>-3.0255607720396482E-2</v>
      </c>
      <c r="I11" s="8">
        <f>IFERROR(C11/E11-1, "")</f>
        <v>0.4649298597194389</v>
      </c>
      <c r="J11" s="8">
        <f>IFERROR(B11/F11-1, "")</f>
        <v>-7.2895021195245602E-2</v>
      </c>
      <c r="K11" s="8">
        <f>IFERROR(C11/G11-1, "")</f>
        <v>0.14040561622464898</v>
      </c>
      <c r="V11" t="s">
        <v>17</v>
      </c>
      <c r="W11">
        <v>11154</v>
      </c>
      <c r="X11">
        <v>731</v>
      </c>
      <c r="Y11">
        <v>11502</v>
      </c>
      <c r="Z11">
        <v>499</v>
      </c>
      <c r="AA11">
        <v>12031</v>
      </c>
      <c r="AB11">
        <v>641</v>
      </c>
      <c r="AC11" s="8">
        <f t="shared" si="0"/>
        <v>-3.0255607720396482E-2</v>
      </c>
      <c r="AD11" s="8">
        <f t="shared" si="0"/>
        <v>0.4649298597194389</v>
      </c>
      <c r="AE11" s="8">
        <f t="shared" si="1"/>
        <v>-7.2895021195245602E-2</v>
      </c>
      <c r="AF11" s="8">
        <f t="shared" si="1"/>
        <v>0.14040561622464898</v>
      </c>
    </row>
    <row r="12" spans="1:32" x14ac:dyDescent="0.25">
      <c r="A12" t="s">
        <v>18</v>
      </c>
      <c r="B12">
        <v>11022</v>
      </c>
      <c r="C12">
        <v>550</v>
      </c>
      <c r="D12">
        <v>14644</v>
      </c>
      <c r="E12">
        <v>780</v>
      </c>
      <c r="F12">
        <v>0</v>
      </c>
      <c r="G12">
        <v>0</v>
      </c>
      <c r="H12" s="8">
        <f>IFERROR(B12/D12-1, "")</f>
        <v>-0.24733679322589452</v>
      </c>
      <c r="I12" s="8">
        <f>IFERROR(C12/E12-1, "")</f>
        <v>-0.29487179487179482</v>
      </c>
      <c r="J12" s="8" t="str">
        <f>IFERROR(B12/F12-1, "")</f>
        <v/>
      </c>
      <c r="K12" s="8" t="str">
        <f>IFERROR(C12/G12-1, "")</f>
        <v/>
      </c>
      <c r="V12" t="s">
        <v>18</v>
      </c>
      <c r="W12">
        <v>11022</v>
      </c>
      <c r="X12">
        <v>550</v>
      </c>
      <c r="Y12">
        <v>14644</v>
      </c>
      <c r="Z12">
        <v>780</v>
      </c>
      <c r="AA12">
        <v>0</v>
      </c>
      <c r="AB12">
        <v>0</v>
      </c>
      <c r="AC12" s="8">
        <f t="shared" si="0"/>
        <v>-0.24733679322589452</v>
      </c>
      <c r="AD12" s="8">
        <f t="shared" si="0"/>
        <v>-0.29487179487179482</v>
      </c>
      <c r="AE12" s="8" t="e">
        <f t="shared" si="1"/>
        <v>#DIV/0!</v>
      </c>
      <c r="AF12" s="8" t="e">
        <f t="shared" si="1"/>
        <v>#DIV/0!</v>
      </c>
    </row>
    <row r="13" spans="1:32" x14ac:dyDescent="0.25">
      <c r="A13" t="s">
        <v>19</v>
      </c>
      <c r="B13">
        <v>8905</v>
      </c>
      <c r="C13">
        <v>469</v>
      </c>
      <c r="D13">
        <v>8796</v>
      </c>
      <c r="E13">
        <v>316</v>
      </c>
      <c r="F13">
        <v>9096</v>
      </c>
      <c r="G13">
        <v>620</v>
      </c>
      <c r="H13" s="8">
        <f>IFERROR(B13/D13-1, "")</f>
        <v>1.2391996361982738E-2</v>
      </c>
      <c r="I13" s="8">
        <f>IFERROR(C13/E13-1, "")</f>
        <v>0.48417721518987333</v>
      </c>
      <c r="J13" s="8">
        <f>IFERROR(B13/F13-1, "")</f>
        <v>-2.0998240985048322E-2</v>
      </c>
      <c r="K13" s="8">
        <f>IFERROR(C13/G13-1, "")</f>
        <v>-0.24354838709677418</v>
      </c>
      <c r="V13" t="s">
        <v>19</v>
      </c>
      <c r="W13">
        <v>8905</v>
      </c>
      <c r="X13">
        <v>469</v>
      </c>
      <c r="Y13">
        <v>8796</v>
      </c>
      <c r="Z13">
        <v>316</v>
      </c>
      <c r="AA13">
        <v>9096</v>
      </c>
      <c r="AB13">
        <v>620</v>
      </c>
      <c r="AC13" s="8">
        <f t="shared" si="0"/>
        <v>1.2391996361982738E-2</v>
      </c>
      <c r="AD13" s="8">
        <f t="shared" si="0"/>
        <v>0.48417721518987333</v>
      </c>
      <c r="AE13" s="8">
        <f t="shared" si="1"/>
        <v>-2.0998240985048322E-2</v>
      </c>
      <c r="AF13" s="8">
        <f t="shared" si="1"/>
        <v>-0.24354838709677418</v>
      </c>
    </row>
    <row r="14" spans="1:32" x14ac:dyDescent="0.25">
      <c r="A14" t="s">
        <v>20</v>
      </c>
      <c r="B14">
        <v>16735</v>
      </c>
      <c r="C14">
        <v>800</v>
      </c>
      <c r="D14" t="s">
        <v>21</v>
      </c>
      <c r="E14" t="s">
        <v>21</v>
      </c>
      <c r="F14">
        <v>18207</v>
      </c>
      <c r="G14">
        <v>1176</v>
      </c>
      <c r="H14" s="8" t="str">
        <f>IFERROR(B14/D14-1, "")</f>
        <v/>
      </c>
      <c r="I14" s="8" t="str">
        <f>IFERROR(C14/E14-1, "")</f>
        <v/>
      </c>
      <c r="J14" s="8">
        <f>IFERROR(B14/F14-1, "")</f>
        <v>-8.0848025484703712E-2</v>
      </c>
      <c r="K14" s="8">
        <f>IFERROR(C14/G14-1, "")</f>
        <v>-0.31972789115646261</v>
      </c>
      <c r="V14" t="s">
        <v>20</v>
      </c>
      <c r="W14">
        <v>16735</v>
      </c>
      <c r="X14">
        <v>800</v>
      </c>
      <c r="Y14" t="s">
        <v>21</v>
      </c>
      <c r="Z14" t="s">
        <v>21</v>
      </c>
      <c r="AA14">
        <v>18207</v>
      </c>
      <c r="AB14">
        <v>1176</v>
      </c>
      <c r="AC14" s="8" t="e">
        <f t="shared" si="0"/>
        <v>#VALUE!</v>
      </c>
      <c r="AD14" s="8" t="e">
        <f t="shared" si="0"/>
        <v>#VALUE!</v>
      </c>
      <c r="AE14" s="8">
        <f t="shared" si="1"/>
        <v>-8.0848025484703712E-2</v>
      </c>
      <c r="AF14" s="8">
        <f t="shared" si="1"/>
        <v>-0.31972789115646261</v>
      </c>
    </row>
    <row r="15" spans="1:32" x14ac:dyDescent="0.25">
      <c r="A15" t="s">
        <v>22</v>
      </c>
      <c r="B15">
        <v>3635</v>
      </c>
      <c r="C15">
        <v>96</v>
      </c>
      <c r="D15">
        <v>2337</v>
      </c>
      <c r="E15">
        <v>90</v>
      </c>
      <c r="F15">
        <v>3579</v>
      </c>
      <c r="G15">
        <v>184</v>
      </c>
      <c r="H15" s="8">
        <f>IFERROR(B15/D15-1, "")</f>
        <v>0.55541292255027819</v>
      </c>
      <c r="I15" s="8">
        <f>IFERROR(C15/E15-1, "")</f>
        <v>6.6666666666666652E-2</v>
      </c>
      <c r="J15" s="8">
        <f>IFERROR(B15/F15-1, "")</f>
        <v>1.5646828723107076E-2</v>
      </c>
      <c r="K15" s="8">
        <f>IFERROR(C15/G15-1, "")</f>
        <v>-0.47826086956521741</v>
      </c>
      <c r="V15" t="s">
        <v>22</v>
      </c>
      <c r="W15">
        <v>3635</v>
      </c>
      <c r="X15">
        <v>96</v>
      </c>
      <c r="Y15">
        <v>2337</v>
      </c>
      <c r="Z15">
        <v>90</v>
      </c>
      <c r="AA15">
        <v>3579</v>
      </c>
      <c r="AB15">
        <v>184</v>
      </c>
      <c r="AC15" s="8">
        <f t="shared" si="0"/>
        <v>0.55541292255027819</v>
      </c>
      <c r="AD15" s="8">
        <f t="shared" si="0"/>
        <v>6.6666666666666652E-2</v>
      </c>
      <c r="AE15" s="8">
        <f t="shared" si="1"/>
        <v>1.5646828723107076E-2</v>
      </c>
      <c r="AF15" s="8">
        <f t="shared" si="1"/>
        <v>-0.47826086956521741</v>
      </c>
    </row>
    <row r="16" spans="1:32" x14ac:dyDescent="0.25">
      <c r="A16" t="s">
        <v>23</v>
      </c>
      <c r="B16">
        <v>15627</v>
      </c>
      <c r="C16">
        <v>1996</v>
      </c>
      <c r="D16">
        <v>0</v>
      </c>
      <c r="E16">
        <v>0</v>
      </c>
      <c r="F16">
        <v>14634</v>
      </c>
      <c r="G16">
        <v>1584</v>
      </c>
      <c r="H16" s="8" t="str">
        <f>IFERROR(B16/D16-1, "")</f>
        <v/>
      </c>
      <c r="I16" s="8" t="str">
        <f>IFERROR(C16/E16-1, "")</f>
        <v/>
      </c>
      <c r="J16" s="8">
        <f>IFERROR(B16/F16-1, "")</f>
        <v>6.7855678556785648E-2</v>
      </c>
      <c r="K16" s="8">
        <f>IFERROR(C16/G16-1, "")</f>
        <v>0.26010101010101017</v>
      </c>
      <c r="V16" t="s">
        <v>23</v>
      </c>
      <c r="W16">
        <v>15627</v>
      </c>
      <c r="X16">
        <v>1996</v>
      </c>
      <c r="Y16">
        <v>0</v>
      </c>
      <c r="Z16">
        <v>0</v>
      </c>
      <c r="AA16">
        <v>14634</v>
      </c>
      <c r="AB16">
        <v>1584</v>
      </c>
      <c r="AC16" s="8" t="e">
        <f t="shared" si="0"/>
        <v>#DIV/0!</v>
      </c>
      <c r="AD16" s="8" t="e">
        <f t="shared" si="0"/>
        <v>#DIV/0!</v>
      </c>
      <c r="AE16" s="8">
        <f t="shared" si="1"/>
        <v>6.7855678556785648E-2</v>
      </c>
      <c r="AF16" s="8">
        <f t="shared" si="1"/>
        <v>0.26010101010101017</v>
      </c>
    </row>
    <row r="17" spans="1:32" x14ac:dyDescent="0.25">
      <c r="A17" t="s">
        <v>24</v>
      </c>
      <c r="B17">
        <v>7270</v>
      </c>
      <c r="C17">
        <v>150</v>
      </c>
      <c r="D17">
        <v>7119</v>
      </c>
      <c r="E17">
        <v>349</v>
      </c>
      <c r="F17">
        <v>7158</v>
      </c>
      <c r="G17">
        <v>120</v>
      </c>
      <c r="H17" s="8">
        <f>IFERROR(B17/D17-1, "")</f>
        <v>2.1210844219693881E-2</v>
      </c>
      <c r="I17" s="8">
        <f>IFERROR(C17/E17-1, "")</f>
        <v>-0.57020057306590255</v>
      </c>
      <c r="J17" s="8">
        <f>IFERROR(B17/F17-1, "")</f>
        <v>1.5646828723107076E-2</v>
      </c>
      <c r="K17" s="8">
        <f>IFERROR(C17/G17-1, "")</f>
        <v>0.25</v>
      </c>
      <c r="V17" t="s">
        <v>24</v>
      </c>
      <c r="W17">
        <v>7270</v>
      </c>
      <c r="X17">
        <v>150</v>
      </c>
      <c r="Y17">
        <v>7119</v>
      </c>
      <c r="Z17">
        <v>349</v>
      </c>
      <c r="AA17">
        <v>7158</v>
      </c>
      <c r="AB17">
        <v>120</v>
      </c>
      <c r="AC17" s="8">
        <f t="shared" si="0"/>
        <v>2.1210844219693881E-2</v>
      </c>
      <c r="AD17" s="8">
        <f t="shared" si="0"/>
        <v>-0.57020057306590255</v>
      </c>
      <c r="AE17" s="8">
        <f t="shared" si="1"/>
        <v>1.5646828723107076E-2</v>
      </c>
      <c r="AF17" s="8">
        <f t="shared" si="1"/>
        <v>0.25</v>
      </c>
    </row>
    <row r="18" spans="1:32" x14ac:dyDescent="0.25">
      <c r="A18" t="s">
        <v>25</v>
      </c>
      <c r="B18">
        <v>5955</v>
      </c>
      <c r="C18">
        <v>260</v>
      </c>
      <c r="D18">
        <v>5612</v>
      </c>
      <c r="E18">
        <v>233</v>
      </c>
      <c r="F18">
        <v>5977</v>
      </c>
      <c r="G18">
        <v>210</v>
      </c>
      <c r="H18" s="8">
        <f>IFERROR(B18/D18-1, "")</f>
        <v>6.1119030648610018E-2</v>
      </c>
      <c r="I18" s="8">
        <f>IFERROR(C18/E18-1, "")</f>
        <v>0.11587982832618016</v>
      </c>
      <c r="J18" s="8">
        <f>IFERROR(B18/F18-1, "")</f>
        <v>-3.6807763091851742E-3</v>
      </c>
      <c r="K18" s="8">
        <f>IFERROR(C18/G18-1, "")</f>
        <v>0.23809523809523814</v>
      </c>
      <c r="V18" t="s">
        <v>25</v>
      </c>
      <c r="W18">
        <v>5955</v>
      </c>
      <c r="X18">
        <v>260</v>
      </c>
      <c r="Y18">
        <v>5612</v>
      </c>
      <c r="Z18">
        <v>233</v>
      </c>
      <c r="AA18">
        <v>5977</v>
      </c>
      <c r="AB18">
        <v>210</v>
      </c>
      <c r="AC18" s="8">
        <f t="shared" si="0"/>
        <v>6.1119030648610018E-2</v>
      </c>
      <c r="AD18" s="8">
        <f t="shared" si="0"/>
        <v>0.11587982832618016</v>
      </c>
      <c r="AE18" s="8">
        <f t="shared" si="1"/>
        <v>-3.6807763091851742E-3</v>
      </c>
      <c r="AF18" s="8">
        <f t="shared" si="1"/>
        <v>0.23809523809523814</v>
      </c>
    </row>
    <row r="19" spans="1:32" x14ac:dyDescent="0.25">
      <c r="A19" t="s">
        <v>26</v>
      </c>
      <c r="B19">
        <v>7666</v>
      </c>
      <c r="C19">
        <v>274</v>
      </c>
      <c r="D19">
        <v>5060</v>
      </c>
      <c r="E19">
        <v>369</v>
      </c>
      <c r="F19">
        <v>7099</v>
      </c>
      <c r="G19">
        <v>230</v>
      </c>
      <c r="H19" s="8">
        <f>IFERROR(B19/D19-1, "")</f>
        <v>0.51501976284584972</v>
      </c>
      <c r="I19" s="8">
        <f>IFERROR(C19/E19-1, "")</f>
        <v>-0.25745257452574521</v>
      </c>
      <c r="J19" s="8">
        <f>IFERROR(B19/F19-1, "")</f>
        <v>7.9870404282293306E-2</v>
      </c>
      <c r="K19" s="8">
        <f>IFERROR(C19/G19-1, "")</f>
        <v>0.19130434782608696</v>
      </c>
      <c r="V19" t="s">
        <v>26</v>
      </c>
      <c r="W19">
        <v>7666</v>
      </c>
      <c r="X19">
        <v>274</v>
      </c>
      <c r="Y19">
        <v>5060</v>
      </c>
      <c r="Z19">
        <v>369</v>
      </c>
      <c r="AA19">
        <v>7099</v>
      </c>
      <c r="AB19">
        <v>230</v>
      </c>
      <c r="AC19" s="8">
        <f t="shared" si="0"/>
        <v>0.51501976284584972</v>
      </c>
      <c r="AD19" s="8">
        <f t="shared" si="0"/>
        <v>-0.25745257452574521</v>
      </c>
      <c r="AE19" s="8">
        <f t="shared" si="1"/>
        <v>7.9870404282293306E-2</v>
      </c>
      <c r="AF19" s="8">
        <f t="shared" si="1"/>
        <v>0.19130434782608696</v>
      </c>
    </row>
    <row r="20" spans="1:32" x14ac:dyDescent="0.25">
      <c r="A20" t="s">
        <v>27</v>
      </c>
      <c r="B20">
        <v>10857</v>
      </c>
      <c r="C20">
        <v>281</v>
      </c>
      <c r="D20">
        <v>0</v>
      </c>
      <c r="E20">
        <v>0</v>
      </c>
      <c r="F20">
        <v>10799</v>
      </c>
      <c r="G20">
        <v>333</v>
      </c>
      <c r="H20" s="8" t="str">
        <f>IFERROR(B20/D20-1, "")</f>
        <v/>
      </c>
      <c r="I20" s="8" t="str">
        <f>IFERROR(C20/E20-1, "")</f>
        <v/>
      </c>
      <c r="J20" s="8">
        <f>IFERROR(B20/F20-1, "")</f>
        <v>5.3708676729327109E-3</v>
      </c>
      <c r="K20" s="8">
        <f>IFERROR(C20/G20-1, "")</f>
        <v>-0.15615615615615619</v>
      </c>
      <c r="V20" t="s">
        <v>27</v>
      </c>
      <c r="W20">
        <v>10857</v>
      </c>
      <c r="X20">
        <v>281</v>
      </c>
      <c r="Y20">
        <v>0</v>
      </c>
      <c r="Z20">
        <v>0</v>
      </c>
      <c r="AA20">
        <v>10799</v>
      </c>
      <c r="AB20">
        <v>333</v>
      </c>
      <c r="AC20" s="8" t="e">
        <f t="shared" si="0"/>
        <v>#DIV/0!</v>
      </c>
      <c r="AD20" s="8" t="e">
        <f t="shared" si="0"/>
        <v>#DIV/0!</v>
      </c>
      <c r="AE20" s="8">
        <f t="shared" si="1"/>
        <v>5.3708676729327109E-3</v>
      </c>
      <c r="AF20" s="8">
        <f t="shared" si="1"/>
        <v>-0.15615615615615619</v>
      </c>
    </row>
    <row r="21" spans="1:32" x14ac:dyDescent="0.25">
      <c r="A21" t="s">
        <v>28</v>
      </c>
      <c r="B21">
        <v>9873</v>
      </c>
      <c r="C21">
        <v>370</v>
      </c>
      <c r="D21">
        <v>11069</v>
      </c>
      <c r="E21">
        <v>652</v>
      </c>
      <c r="F21" t="s">
        <v>21</v>
      </c>
      <c r="G21" t="s">
        <v>21</v>
      </c>
      <c r="H21" s="8">
        <f>IFERROR(B21/D21-1, "")</f>
        <v>-0.10804950763393262</v>
      </c>
      <c r="I21" s="8">
        <f>IFERROR(C21/E21-1, "")</f>
        <v>-0.43251533742331283</v>
      </c>
      <c r="J21" s="8" t="str">
        <f>IFERROR(B21/F21-1, "")</f>
        <v/>
      </c>
      <c r="K21" s="8" t="str">
        <f>IFERROR(C21/G21-1, "")</f>
        <v/>
      </c>
      <c r="V21" t="s">
        <v>28</v>
      </c>
      <c r="W21">
        <v>9873</v>
      </c>
      <c r="X21">
        <v>370</v>
      </c>
      <c r="Y21">
        <v>11069</v>
      </c>
      <c r="Z21">
        <v>652</v>
      </c>
      <c r="AA21" t="s">
        <v>21</v>
      </c>
      <c r="AB21" t="s">
        <v>21</v>
      </c>
      <c r="AC21" s="8">
        <f t="shared" si="0"/>
        <v>-0.10804950763393262</v>
      </c>
      <c r="AD21" s="8">
        <f t="shared" si="0"/>
        <v>-0.43251533742331283</v>
      </c>
      <c r="AE21" s="8" t="e">
        <f t="shared" si="1"/>
        <v>#VALUE!</v>
      </c>
      <c r="AF21" s="8" t="e">
        <f t="shared" si="1"/>
        <v>#VALUE!</v>
      </c>
    </row>
    <row r="22" spans="1:32" x14ac:dyDescent="0.25">
      <c r="A22" t="s">
        <v>29</v>
      </c>
      <c r="B22">
        <v>6405</v>
      </c>
      <c r="C22">
        <v>363</v>
      </c>
      <c r="D22">
        <v>5995</v>
      </c>
      <c r="E22">
        <v>268</v>
      </c>
      <c r="F22">
        <v>0</v>
      </c>
      <c r="G22">
        <v>0</v>
      </c>
      <c r="H22" s="8">
        <f>IFERROR(B22/D22-1, "")</f>
        <v>6.8390325271059149E-2</v>
      </c>
      <c r="I22" s="8">
        <f>IFERROR(C22/E22-1, "")</f>
        <v>0.35447761194029859</v>
      </c>
      <c r="J22" s="8" t="str">
        <f>IFERROR(B22/F22-1, "")</f>
        <v/>
      </c>
      <c r="K22" s="8" t="str">
        <f>IFERROR(C22/G22-1, "")</f>
        <v/>
      </c>
      <c r="V22" t="s">
        <v>29</v>
      </c>
      <c r="W22">
        <v>6405</v>
      </c>
      <c r="X22">
        <v>363</v>
      </c>
      <c r="Y22">
        <v>5995</v>
      </c>
      <c r="Z22">
        <v>268</v>
      </c>
      <c r="AA22">
        <v>0</v>
      </c>
      <c r="AB22">
        <v>0</v>
      </c>
      <c r="AC22" s="8">
        <f t="shared" si="0"/>
        <v>6.8390325271059149E-2</v>
      </c>
      <c r="AD22" s="8">
        <f t="shared" si="0"/>
        <v>0.35447761194029859</v>
      </c>
      <c r="AE22" s="8" t="e">
        <f t="shared" si="1"/>
        <v>#DIV/0!</v>
      </c>
      <c r="AF22" s="8" t="e">
        <f t="shared" si="1"/>
        <v>#DIV/0!</v>
      </c>
    </row>
    <row r="25" spans="1:32" x14ac:dyDescent="0.25">
      <c r="C25" s="9"/>
    </row>
    <row r="27" spans="1:32" x14ac:dyDescent="0.25">
      <c r="C27" s="9"/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Replace_Formulas">
                <anchor moveWithCells="1" sizeWithCells="1">
                  <from>
                    <xdr:col>12</xdr:col>
                    <xdr:colOff>247650</xdr:colOff>
                    <xdr:row>7</xdr:row>
                    <xdr:rowOff>47625</xdr:rowOff>
                  </from>
                  <to>
                    <xdr:col>15</xdr:col>
                    <xdr:colOff>228600</xdr:colOff>
                    <xdr:row>10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5" name="Button 3">
              <controlPr defaultSize="0" print="0" autoFill="0" autoPict="0" macro="[0]!Copy_Paste_Reset">
                <anchor moveWithCells="1" sizeWithCells="1">
                  <from>
                    <xdr:col>12</xdr:col>
                    <xdr:colOff>295275</xdr:colOff>
                    <xdr:row>12</xdr:row>
                    <xdr:rowOff>19050</xdr:rowOff>
                  </from>
                  <to>
                    <xdr:col>15</xdr:col>
                    <xdr:colOff>276225</xdr:colOff>
                    <xdr:row>14</xdr:row>
                    <xdr:rowOff>142875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2</vt:i4>
      </vt:variant>
    </vt:vector>
  </HeadingPairs>
  <TitlesOfParts>
    <vt:vector size="4" baseType="lpstr">
      <vt:lpstr>Sheet1</vt:lpstr>
      <vt:lpstr>Activity</vt:lpstr>
      <vt:lpstr>DTS</vt:lpstr>
      <vt:lpstr>Reval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2025-05-21T10:42:14Z</dcterms:modified>
</cp:coreProperties>
</file>